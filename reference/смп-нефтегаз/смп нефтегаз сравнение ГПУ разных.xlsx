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Лист1" sheetId="1" r:id="rId1"/>
    <sheet name="Лист2" sheetId="2" r:id="rId2"/>
  </sheets>
  <calcPr calcId="114210"/>
</workbook>
</file>

<file path=xl/calcChain.xml><?xml version="1.0" encoding="utf-8"?>
<calcChain xmlns="http://schemas.openxmlformats.org/spreadsheetml/2006/main">
  <c r="V20" i="1"/>
  <c r="U22"/>
  <c r="V22"/>
  <c r="U21"/>
  <c r="V15"/>
  <c r="V21"/>
  <c r="V16"/>
  <c r="V8"/>
  <c r="C22"/>
  <c r="D22"/>
  <c r="D16"/>
  <c r="D15"/>
  <c r="D8"/>
  <c r="A20"/>
  <c r="A19"/>
  <c r="A18"/>
  <c r="A17"/>
  <c r="A11"/>
  <c r="A12"/>
  <c r="A13"/>
  <c r="A14"/>
  <c r="A15"/>
  <c r="A16"/>
  <c r="A10"/>
  <c r="C27" i="2"/>
  <c r="S24"/>
  <c r="T24"/>
  <c r="P24"/>
  <c r="N24"/>
  <c r="O24"/>
  <c r="M24"/>
  <c r="L24"/>
  <c r="K24"/>
  <c r="K23"/>
  <c r="K22"/>
  <c r="J24"/>
  <c r="J23"/>
  <c r="J22"/>
  <c r="I24"/>
  <c r="H24"/>
  <c r="E24"/>
  <c r="F24"/>
  <c r="C24"/>
  <c r="T23"/>
  <c r="Q23"/>
  <c r="Q24"/>
  <c r="R24"/>
  <c r="P23"/>
  <c r="N23"/>
  <c r="O23"/>
  <c r="L23"/>
  <c r="I23"/>
  <c r="H23"/>
  <c r="G23"/>
  <c r="F23"/>
  <c r="C23"/>
  <c r="D23"/>
  <c r="D22"/>
  <c r="T22"/>
  <c r="P22"/>
  <c r="M22"/>
  <c r="L22"/>
  <c r="I22"/>
  <c r="H22"/>
  <c r="G22"/>
  <c r="F22"/>
  <c r="C22"/>
  <c r="T17"/>
  <c r="R17"/>
  <c r="O17"/>
  <c r="L17"/>
  <c r="J17"/>
  <c r="H17"/>
  <c r="F17"/>
  <c r="D17"/>
  <c r="R16"/>
  <c r="O16"/>
  <c r="L16"/>
  <c r="J16"/>
  <c r="H16"/>
  <c r="F16"/>
  <c r="D16"/>
  <c r="H15"/>
  <c r="T8"/>
  <c r="O8"/>
  <c r="L8"/>
  <c r="J8"/>
  <c r="H8"/>
  <c r="F8"/>
  <c r="D8"/>
  <c r="T8" i="1"/>
  <c r="O16"/>
  <c r="O15"/>
  <c r="O8"/>
  <c r="L22"/>
  <c r="L16"/>
  <c r="L15"/>
  <c r="L8"/>
  <c r="F21"/>
  <c r="F20"/>
  <c r="F16"/>
  <c r="F15"/>
  <c r="F8"/>
  <c r="Q22" i="2"/>
  <c r="R23"/>
  <c r="R22"/>
  <c r="N22"/>
  <c r="O22"/>
  <c r="L21" i="1"/>
  <c r="K22"/>
  <c r="C25"/>
  <c r="C21"/>
  <c r="D21"/>
  <c r="D20"/>
  <c r="C20"/>
  <c r="K21"/>
  <c r="K20"/>
  <c r="L20"/>
  <c r="S22"/>
  <c r="T22"/>
  <c r="T20"/>
  <c r="T21"/>
  <c r="T16"/>
  <c r="I22"/>
  <c r="H22"/>
  <c r="H16"/>
  <c r="H15"/>
  <c r="H14"/>
  <c r="H8"/>
  <c r="G21"/>
  <c r="H21"/>
  <c r="H20"/>
  <c r="G20"/>
  <c r="N21"/>
  <c r="N22"/>
  <c r="O22"/>
  <c r="O21"/>
  <c r="N20"/>
  <c r="O20"/>
  <c r="M22"/>
  <c r="I21"/>
  <c r="E22"/>
  <c r="F22"/>
  <c r="Q21"/>
  <c r="Q22"/>
  <c r="Q20"/>
  <c r="J22"/>
  <c r="J21"/>
  <c r="J20"/>
  <c r="I20"/>
  <c r="J16"/>
  <c r="J15"/>
  <c r="J8"/>
  <c r="P21"/>
  <c r="P22"/>
  <c r="R15"/>
  <c r="R21"/>
  <c r="R20"/>
  <c r="R16"/>
  <c r="M20"/>
  <c r="P20"/>
  <c r="R22"/>
</calcChain>
</file>

<file path=xl/sharedStrings.xml><?xml version="1.0" encoding="utf-8"?>
<sst xmlns="http://schemas.openxmlformats.org/spreadsheetml/2006/main" count="279" uniqueCount="115">
  <si>
    <t>СРАВНИТЕЛЬНАЯ ТАБЛИЦА</t>
  </si>
  <si>
    <t>Наименование параметра</t>
  </si>
  <si>
    <t>Электрическая мощность, кВт</t>
  </si>
  <si>
    <t>Скорость вращения, об/мин</t>
  </si>
  <si>
    <t>Диаметр/ход поршня, мм</t>
  </si>
  <si>
    <t>170х220</t>
  </si>
  <si>
    <t>Количество цилиндров</t>
  </si>
  <si>
    <t>V16</t>
  </si>
  <si>
    <t>V12</t>
  </si>
  <si>
    <t>Метановое число газа</t>
  </si>
  <si>
    <t>≥33</t>
  </si>
  <si>
    <t>Электрический КПД, %</t>
  </si>
  <si>
    <t>Вес, кг</t>
  </si>
  <si>
    <t>Цикл</t>
  </si>
  <si>
    <t>Преимущества</t>
  </si>
  <si>
    <t>Недостатки</t>
  </si>
  <si>
    <r>
      <t>Расход газа нм</t>
    </r>
    <r>
      <rPr>
        <vertAlign val="superscript"/>
        <sz val="11"/>
        <color indexed="8"/>
        <rFont val="Times New Roman"/>
        <family val="1"/>
        <charset val="204"/>
      </rPr>
      <t>3</t>
    </r>
    <r>
      <rPr>
        <sz val="11"/>
        <color indexed="8"/>
        <rFont val="Times New Roman"/>
        <family val="1"/>
        <charset val="204"/>
      </rPr>
      <t>/час</t>
    </r>
  </si>
  <si>
    <t>Главный инженер УТТ</t>
  </si>
  <si>
    <t>И.Р. Галеев</t>
  </si>
  <si>
    <t>Cos φ</t>
  </si>
  <si>
    <t>н.д.</t>
  </si>
  <si>
    <t>210х210</t>
  </si>
  <si>
    <t>Р6</t>
  </si>
  <si>
    <t>без контейнера</t>
  </si>
  <si>
    <t>за 1 ед.</t>
  </si>
  <si>
    <t>за 3 ед.</t>
  </si>
  <si>
    <t>Наработка до капитального ремонта, часов</t>
  </si>
  <si>
    <t>в контейнере</t>
  </si>
  <si>
    <t>технических характеристик и эксплуатационных затрат газопоршневых установок</t>
  </si>
  <si>
    <t>низкий меж сервисный интервал (800 моточасов)</t>
  </si>
  <si>
    <t>Guascor SFGLD 480, производитель Испания, ООО "ГК "Альянс"</t>
  </si>
  <si>
    <t>за 2 ед.</t>
  </si>
  <si>
    <t>Напряжение, кВт</t>
  </si>
  <si>
    <t>152х165</t>
  </si>
  <si>
    <t>260х260</t>
  </si>
  <si>
    <t>≥85</t>
  </si>
  <si>
    <t>Стоимость</t>
  </si>
  <si>
    <t>нет данных</t>
  </si>
  <si>
    <t>№ п/п</t>
  </si>
  <si>
    <t>6,3/10,5</t>
  </si>
  <si>
    <t>170х195</t>
  </si>
  <si>
    <t>Oтто</t>
  </si>
  <si>
    <t>Затраты на техобслуживание в год, рублей</t>
  </si>
  <si>
    <t>наилучший кпд, на 50% отечественный</t>
  </si>
  <si>
    <t>Комплектующие более чем 10 производителей и государств</t>
  </si>
  <si>
    <t>форкамерно-факельный</t>
  </si>
  <si>
    <t>≥0</t>
  </si>
  <si>
    <t>большой вес и размер, сложность размещения в контейнере, высокая цена, большой расход масла, запуск сжатым воздухом.</t>
  </si>
  <si>
    <t>Mitsubishi 1500 GazEcos, производитель Япония</t>
  </si>
  <si>
    <t>12ГДГ49 GazEcos 1500, производитель Россия</t>
  </si>
  <si>
    <t>ООО "Ротваник СНГ"</t>
  </si>
  <si>
    <t>12ГДГ49Н GazEcos 1000, производитель Россия</t>
  </si>
  <si>
    <t>срок поставки</t>
  </si>
  <si>
    <t>3 месяца</t>
  </si>
  <si>
    <t>9 месяцев</t>
  </si>
  <si>
    <t>4 месяца</t>
  </si>
  <si>
    <t>2 в наличии</t>
  </si>
  <si>
    <t>срок службы, часов</t>
  </si>
  <si>
    <t>Capstore GPG 1450, производитель Китай</t>
  </si>
  <si>
    <t>1 ед.</t>
  </si>
  <si>
    <t>160/190</t>
  </si>
  <si>
    <t>8700(заправ)</t>
  </si>
  <si>
    <t>Отто</t>
  </si>
  <si>
    <t xml:space="preserve"> ГПА Perkins PG 750 B. ДВС Великобритания, система утилизации тепла "ТМ Техмаш"</t>
  </si>
  <si>
    <t>3 ед.</t>
  </si>
  <si>
    <t>Природный газ с низшей теплотворностью 34,7 МДж/м3  и минимальным метановым числом 75 сжиженный  нефтяной газ</t>
  </si>
  <si>
    <t>за 4 ед.</t>
  </si>
  <si>
    <t>140х140</t>
  </si>
  <si>
    <t>отто</t>
  </si>
  <si>
    <t>100 рабочих дней.</t>
  </si>
  <si>
    <t>Guascor SFGLD 360 LCR, производитель Испания, ЗАО "Автономный энергосервис"</t>
  </si>
  <si>
    <t>эа 1 ед.</t>
  </si>
  <si>
    <t>≥35</t>
  </si>
  <si>
    <t>5 месяцев</t>
  </si>
  <si>
    <t>4 ед.</t>
  </si>
  <si>
    <t>190х210</t>
  </si>
  <si>
    <t>7 месяцев</t>
  </si>
  <si>
    <t>6 месяцев</t>
  </si>
  <si>
    <t>≥43</t>
  </si>
  <si>
    <t>ООО "Хайтед-Регион", г. Казань</t>
  </si>
  <si>
    <t>ООО "Азиатские газовые технологии", г. Миасс</t>
  </si>
  <si>
    <t>ООО "Электросистемы", Москва</t>
  </si>
  <si>
    <t>FG Wilson/WattStream 400GJZ1-PwT-ESM3. Производитель Китай</t>
  </si>
  <si>
    <t>Двигатель тихоходного класса, отечественный, доступность запасных частей, возможность без ущерба работать с 0-ой нагрузкой за счёт отключения цилиндров, может работать на газе без содержания метана на мощности до 80%, есть опыт эксплуатации в НГДУ Прикамнефть и Троицкнефть.</t>
  </si>
  <si>
    <t>Три контейнера. В Троицкнефти не работает, со слов их представителей не выгодно из-за дороговизны очистки газа. В Прикамнефть не допустили на объект, даже запрашивали допуск официально.</t>
  </si>
  <si>
    <t>Производитель заявляет, что из-за состава газа мощность может снизится на 50%. Это возможно каснётся и всех электростанций.</t>
  </si>
  <si>
    <t>Базовый первичный двигатель от бульдозера Т-25.01, большой опыт в эксплуатации. Установка схожей конструкции работает с 2007 года на не очищенном газе в НГДУ "Ямашнефть", выезжали видели.</t>
  </si>
  <si>
    <t>2 ед.</t>
  </si>
  <si>
    <t>Двигатели тихоходного класса с высоким ресурсом, отечественный, доступность запчасный частей</t>
  </si>
  <si>
    <t>ГДГ 90</t>
  </si>
  <si>
    <t>ОАО "Волжский дизель имени Маминых", Балаково Саратовская область</t>
  </si>
  <si>
    <t>ЗАО "ПФК Рыбинсккомплекс", г. Рыбинск, Ярославская область</t>
  </si>
  <si>
    <t>АГП-350</t>
  </si>
  <si>
    <t>ООО "Хайтед-Регион", г. Казань.</t>
  </si>
  <si>
    <t>FG Wilson/WattStream 400GJZ1-PwT-ESM3. Производитель Китай.</t>
  </si>
  <si>
    <t>ООО "Азиатские газовые технологии", г. Миасс.</t>
  </si>
  <si>
    <t>Capstore GPG 1450, производитель Китай.</t>
  </si>
  <si>
    <t>ООО "Электросистемы", Москва.</t>
  </si>
  <si>
    <t xml:space="preserve"> ГПА Perkins PG 750 B. ДВС Великобритания, система утилизации тепла "ТМ Техмаш".</t>
  </si>
  <si>
    <t>Guascor SFGLD 480, производитель Испания, ООО "ГК "Альянс".</t>
  </si>
  <si>
    <t>Guascor SFGLD 360 LCR, производитель Испания, ЗАО "Автономный энергосервис".</t>
  </si>
  <si>
    <t>Mitsubishi 1500 GazEcos, производитель Япония.</t>
  </si>
  <si>
    <t>12ГДГ49Н GazEcos 1000, производитель Россия.</t>
  </si>
  <si>
    <t>ООО "Ротваник СНГ".</t>
  </si>
  <si>
    <t>12ГДГ49 GazEcos 1500, производитель Россия.</t>
  </si>
  <si>
    <t>ОАО "Волжский дизель имени Маминых", г. Балаково Саратовская область.</t>
  </si>
  <si>
    <t>ЗАО "ПФК Рыбинсккомплекс", г.Рыбинск, Ярославская область.</t>
  </si>
  <si>
    <t>5 ед.</t>
  </si>
  <si>
    <t>Двигатели тихоходного класса с высоким ресурсом, отечественный.</t>
  </si>
  <si>
    <t>большой вес и размер, сложность размещения в контейнере, высокая цена, большой расход масла, запуск сжатым воздухом. На сайте производителя двигателя (Трансмашхолдинг) указано метановое число не менее 48%.</t>
  </si>
  <si>
    <t>ООО "ГазЭкос", г. Москва</t>
  </si>
  <si>
    <t>Базовый первичный двигатель от трактора К-701, бульдозера Т-330, большой опыт в эксплуатации.</t>
  </si>
  <si>
    <t>60 рабочих дней.</t>
  </si>
  <si>
    <t>производитель требует очистки газа по ГОСТ 5542-87</t>
  </si>
  <si>
    <t>ЯМЗ-350, , система утилизации тепла "ТМ Техмаш".</t>
  </si>
</sst>
</file>

<file path=xl/styles.xml><?xml version="1.0" encoding="utf-8"?>
<styleSheet xmlns="http://schemas.openxmlformats.org/spreadsheetml/2006/main">
  <numFmts count="3">
    <numFmt numFmtId="164" formatCode="#,##0.00&quot;р.&quot;"/>
    <numFmt numFmtId="165" formatCode="[$$-409]#,##0.00"/>
    <numFmt numFmtId="166" formatCode="#,##0.00\ [$EUR]"/>
  </numFmts>
  <fonts count="6">
    <font>
      <sz val="11"/>
      <color theme="1"/>
      <name val="Calibri"/>
      <family val="2"/>
      <scheme val="minor"/>
    </font>
    <font>
      <sz val="11"/>
      <color indexed="8"/>
      <name val="Times New Roman"/>
      <family val="1"/>
      <charset val="204"/>
    </font>
    <font>
      <vertAlign val="superscript"/>
      <sz val="11"/>
      <color indexed="8"/>
      <name val="Times New Roman"/>
      <family val="1"/>
      <charset val="204"/>
    </font>
    <font>
      <b/>
      <sz val="11"/>
      <color indexed="8"/>
      <name val="Times New Roman"/>
      <family val="1"/>
      <charset val="204"/>
    </font>
    <font>
      <sz val="9"/>
      <color indexed="8"/>
      <name val="Times New Roman"/>
      <family val="1"/>
      <charset val="204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1" fillId="0" borderId="1" xfId="0" applyFont="1" applyBorder="1" applyAlignment="1">
      <alignment vertical="center" wrapText="1"/>
    </xf>
    <xf numFmtId="164" fontId="1" fillId="0" borderId="0" xfId="0" applyNumberFormat="1" applyFont="1"/>
    <xf numFmtId="0" fontId="4" fillId="0" borderId="1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166" fontId="1" fillId="0" borderId="1" xfId="0" applyNumberFormat="1" applyFont="1" applyBorder="1" applyAlignment="1">
      <alignment horizontal="center" vertical="center" wrapText="1"/>
    </xf>
    <xf numFmtId="165" fontId="1" fillId="0" borderId="1" xfId="0" applyNumberFormat="1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vertical="center" wrapText="1"/>
    </xf>
    <xf numFmtId="4" fontId="1" fillId="0" borderId="0" xfId="0" applyNumberFormat="1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10" fontId="1" fillId="0" borderId="1" xfId="0" applyNumberFormat="1" applyFont="1" applyFill="1" applyBorder="1" applyAlignment="1">
      <alignment horizontal="center" wrapText="1"/>
    </xf>
    <xf numFmtId="164" fontId="1" fillId="0" borderId="1" xfId="0" applyNumberFormat="1" applyFont="1" applyFill="1" applyBorder="1" applyAlignment="1">
      <alignment horizontal="center" vertical="center" wrapText="1"/>
    </xf>
    <xf numFmtId="4" fontId="1" fillId="0" borderId="0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10" fontId="1" fillId="0" borderId="1" xfId="0" applyNumberFormat="1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164" fontId="1" fillId="0" borderId="0" xfId="0" applyNumberFormat="1" applyFont="1" applyBorder="1"/>
    <xf numFmtId="164" fontId="1" fillId="0" borderId="0" xfId="0" applyNumberFormat="1" applyFont="1" applyBorder="1" applyAlignment="1">
      <alignment horizontal="center" vertical="center" wrapText="1"/>
    </xf>
    <xf numFmtId="164" fontId="3" fillId="0" borderId="1" xfId="0" applyNumberFormat="1" applyFont="1" applyFill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4" fontId="1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0" fontId="1" fillId="0" borderId="2" xfId="0" applyNumberFormat="1" applyFont="1" applyFill="1" applyBorder="1" applyAlignment="1">
      <alignment horizontal="center" vertical="center" wrapText="1"/>
    </xf>
    <xf numFmtId="10" fontId="1" fillId="0" borderId="3" xfId="0" applyNumberFormat="1" applyFont="1" applyFill="1" applyBorder="1" applyAlignment="1">
      <alignment horizontal="center" vertical="center" wrapText="1"/>
    </xf>
    <xf numFmtId="4" fontId="1" fillId="0" borderId="2" xfId="0" applyNumberFormat="1" applyFont="1" applyBorder="1" applyAlignment="1">
      <alignment horizontal="center" vertical="center" wrapText="1"/>
    </xf>
    <xf numFmtId="4" fontId="1" fillId="0" borderId="3" xfId="0" applyNumberFormat="1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10" fontId="1" fillId="0" borderId="2" xfId="0" applyNumberFormat="1" applyFont="1" applyBorder="1" applyAlignment="1">
      <alignment horizontal="center" vertical="center" wrapText="1"/>
    </xf>
    <xf numFmtId="10" fontId="1" fillId="0" borderId="3" xfId="0" applyNumberFormat="1" applyFont="1" applyBorder="1" applyAlignment="1">
      <alignment horizontal="center" vertical="center" wrapText="1"/>
    </xf>
    <xf numFmtId="4" fontId="1" fillId="0" borderId="1" xfId="0" applyNumberFormat="1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4" fontId="1" fillId="0" borderId="7" xfId="0" applyNumberFormat="1" applyFont="1" applyBorder="1" applyAlignment="1">
      <alignment horizontal="center" vertical="center" wrapText="1"/>
    </xf>
    <xf numFmtId="3" fontId="1" fillId="0" borderId="1" xfId="0" applyNumberFormat="1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9" fontId="1" fillId="0" borderId="1" xfId="0" applyNumberFormat="1" applyFont="1" applyBorder="1" applyAlignment="1">
      <alignment horizontal="center" vertical="center" wrapText="1"/>
    </xf>
    <xf numFmtId="10" fontId="1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29"/>
  <sheetViews>
    <sheetView tabSelected="1" zoomScale="75" zoomScaleNormal="75" workbookViewId="0">
      <selection activeCell="B3" sqref="B3"/>
    </sheetView>
  </sheetViews>
  <sheetFormatPr defaultRowHeight="15"/>
  <cols>
    <col min="1" max="1" width="4.140625" style="1" bestFit="1" customWidth="1"/>
    <col min="2" max="2" width="36.28515625" style="1" bestFit="1" customWidth="1"/>
    <col min="3" max="5" width="16.28515625" style="1" bestFit="1" customWidth="1"/>
    <col min="6" max="6" width="17.42578125" style="1" bestFit="1" customWidth="1"/>
    <col min="7" max="8" width="16.28515625" style="1" bestFit="1" customWidth="1"/>
    <col min="9" max="9" width="16.5703125" style="1" bestFit="1" customWidth="1"/>
    <col min="10" max="10" width="18.28515625" style="1" bestFit="1" customWidth="1"/>
    <col min="11" max="11" width="16.5703125" style="1" bestFit="1" customWidth="1"/>
    <col min="12" max="12" width="18.28515625" style="1" bestFit="1" customWidth="1"/>
    <col min="13" max="13" width="16.7109375" style="1" customWidth="1"/>
    <col min="14" max="15" width="16.28515625" style="1" bestFit="1" customWidth="1"/>
    <col min="16" max="16" width="16.5703125" style="1" customWidth="1"/>
    <col min="17" max="18" width="16.28515625" style="1" bestFit="1" customWidth="1"/>
    <col min="19" max="19" width="15.140625" style="1" bestFit="1" customWidth="1"/>
    <col min="20" max="20" width="16.28515625" style="1" bestFit="1" customWidth="1"/>
    <col min="21" max="21" width="15.140625" style="1" customWidth="1"/>
    <col min="22" max="22" width="16.28515625" style="1" bestFit="1" customWidth="1"/>
    <col min="23" max="16384" width="9.140625" style="1"/>
  </cols>
  <sheetData>
    <row r="1" spans="1:22">
      <c r="A1" s="50" t="s">
        <v>0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</row>
    <row r="2" spans="1:22">
      <c r="A2" s="50" t="s">
        <v>28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</row>
    <row r="3" spans="1:22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</row>
    <row r="4" spans="1:22" ht="60.75" customHeight="1">
      <c r="A4" s="30" t="s">
        <v>38</v>
      </c>
      <c r="B4" s="56" t="s">
        <v>1</v>
      </c>
      <c r="C4" s="42" t="s">
        <v>93</v>
      </c>
      <c r="D4" s="43"/>
      <c r="E4" s="42" t="s">
        <v>95</v>
      </c>
      <c r="F4" s="43"/>
      <c r="G4" s="30" t="s">
        <v>97</v>
      </c>
      <c r="H4" s="30"/>
      <c r="I4" s="30" t="s">
        <v>99</v>
      </c>
      <c r="J4" s="30"/>
      <c r="K4" s="30" t="s">
        <v>100</v>
      </c>
      <c r="L4" s="30"/>
      <c r="M4" s="30" t="s">
        <v>103</v>
      </c>
      <c r="N4" s="30"/>
      <c r="O4" s="30"/>
      <c r="P4" s="30"/>
      <c r="Q4" s="30" t="s">
        <v>105</v>
      </c>
      <c r="R4" s="30"/>
      <c r="S4" s="30" t="s">
        <v>106</v>
      </c>
      <c r="T4" s="30"/>
      <c r="U4" s="30" t="s">
        <v>110</v>
      </c>
      <c r="V4" s="30"/>
    </row>
    <row r="5" spans="1:22" ht="63" customHeight="1">
      <c r="A5" s="30"/>
      <c r="B5" s="57"/>
      <c r="C5" s="30" t="s">
        <v>94</v>
      </c>
      <c r="D5" s="30"/>
      <c r="E5" s="30" t="s">
        <v>96</v>
      </c>
      <c r="F5" s="30"/>
      <c r="G5" s="30" t="s">
        <v>98</v>
      </c>
      <c r="H5" s="30"/>
      <c r="I5" s="30" t="s">
        <v>24</v>
      </c>
      <c r="J5" s="30" t="s">
        <v>31</v>
      </c>
      <c r="K5" s="30" t="s">
        <v>71</v>
      </c>
      <c r="L5" s="30" t="s">
        <v>66</v>
      </c>
      <c r="M5" s="30" t="s">
        <v>101</v>
      </c>
      <c r="N5" s="42" t="s">
        <v>102</v>
      </c>
      <c r="O5" s="43"/>
      <c r="P5" s="30" t="s">
        <v>104</v>
      </c>
      <c r="Q5" s="30" t="s">
        <v>89</v>
      </c>
      <c r="R5" s="30"/>
      <c r="S5" s="30" t="s">
        <v>92</v>
      </c>
      <c r="T5" s="30"/>
      <c r="U5" s="30" t="s">
        <v>114</v>
      </c>
      <c r="V5" s="30"/>
    </row>
    <row r="6" spans="1:22">
      <c r="A6" s="30"/>
      <c r="B6" s="58"/>
      <c r="C6" s="19" t="s">
        <v>59</v>
      </c>
      <c r="D6" s="19" t="s">
        <v>107</v>
      </c>
      <c r="E6" s="19" t="s">
        <v>59</v>
      </c>
      <c r="F6" s="19" t="s">
        <v>87</v>
      </c>
      <c r="G6" s="19" t="s">
        <v>59</v>
      </c>
      <c r="H6" s="19" t="s">
        <v>64</v>
      </c>
      <c r="I6" s="30"/>
      <c r="J6" s="30"/>
      <c r="K6" s="30"/>
      <c r="L6" s="30"/>
      <c r="M6" s="30"/>
      <c r="N6" s="19" t="s">
        <v>59</v>
      </c>
      <c r="O6" s="19" t="s">
        <v>87</v>
      </c>
      <c r="P6" s="30"/>
      <c r="Q6" s="19" t="s">
        <v>24</v>
      </c>
      <c r="R6" s="19" t="s">
        <v>25</v>
      </c>
      <c r="S6" s="19" t="s">
        <v>24</v>
      </c>
      <c r="T6" s="19" t="s">
        <v>66</v>
      </c>
      <c r="U6" s="19" t="s">
        <v>24</v>
      </c>
      <c r="V6" s="19" t="s">
        <v>66</v>
      </c>
    </row>
    <row r="7" spans="1:22" ht="12" customHeight="1">
      <c r="A7" s="30"/>
      <c r="B7" s="5">
        <v>1</v>
      </c>
      <c r="C7" s="5">
        <v>2</v>
      </c>
      <c r="D7" s="5">
        <v>3</v>
      </c>
      <c r="E7" s="5">
        <v>4</v>
      </c>
      <c r="F7" s="5">
        <v>5</v>
      </c>
      <c r="G7" s="5">
        <v>6</v>
      </c>
      <c r="H7" s="5">
        <v>7</v>
      </c>
      <c r="I7" s="5">
        <v>8</v>
      </c>
      <c r="J7" s="5">
        <v>9</v>
      </c>
      <c r="K7" s="5">
        <v>10</v>
      </c>
      <c r="L7" s="5">
        <v>11</v>
      </c>
      <c r="M7" s="5">
        <v>12</v>
      </c>
      <c r="N7" s="5">
        <v>13</v>
      </c>
      <c r="O7" s="5">
        <v>14</v>
      </c>
      <c r="P7" s="5">
        <v>15</v>
      </c>
      <c r="Q7" s="5">
        <v>16</v>
      </c>
      <c r="R7" s="5">
        <v>17</v>
      </c>
      <c r="S7" s="5">
        <v>18</v>
      </c>
      <c r="T7" s="5">
        <v>19</v>
      </c>
      <c r="U7" s="5">
        <v>18</v>
      </c>
      <c r="V7" s="5">
        <v>19</v>
      </c>
    </row>
    <row r="8" spans="1:22">
      <c r="A8" s="21">
        <v>1</v>
      </c>
      <c r="B8" s="3" t="s">
        <v>2</v>
      </c>
      <c r="C8" s="18">
        <v>400</v>
      </c>
      <c r="D8" s="18">
        <f>C8*5</f>
        <v>2000</v>
      </c>
      <c r="E8" s="18">
        <v>1450</v>
      </c>
      <c r="F8" s="18">
        <f>E8*2</f>
        <v>2900</v>
      </c>
      <c r="G8" s="18">
        <v>600</v>
      </c>
      <c r="H8" s="18">
        <f>G8*3</f>
        <v>1800</v>
      </c>
      <c r="I8" s="18">
        <v>811</v>
      </c>
      <c r="J8" s="18">
        <f>I8*2</f>
        <v>1622</v>
      </c>
      <c r="K8" s="18">
        <v>555</v>
      </c>
      <c r="L8" s="18">
        <f>K8*3</f>
        <v>1665</v>
      </c>
      <c r="M8" s="18">
        <v>1500</v>
      </c>
      <c r="N8" s="18">
        <v>1000</v>
      </c>
      <c r="O8" s="18">
        <f>N8*2</f>
        <v>2000</v>
      </c>
      <c r="P8" s="18">
        <v>1500</v>
      </c>
      <c r="Q8" s="18">
        <v>500</v>
      </c>
      <c r="R8" s="18">
        <v>1500</v>
      </c>
      <c r="S8" s="18">
        <v>350</v>
      </c>
      <c r="T8" s="18">
        <f>S8*4</f>
        <v>1400</v>
      </c>
      <c r="U8" s="18">
        <v>350</v>
      </c>
      <c r="V8" s="18">
        <f>U8*4</f>
        <v>1400</v>
      </c>
    </row>
    <row r="9" spans="1:22">
      <c r="A9" s="21">
        <v>2</v>
      </c>
      <c r="B9" s="3" t="s">
        <v>32</v>
      </c>
      <c r="C9" s="46">
        <v>0.4</v>
      </c>
      <c r="D9" s="47"/>
      <c r="E9" s="46">
        <v>6.3</v>
      </c>
      <c r="F9" s="47"/>
      <c r="G9" s="46">
        <v>0.4</v>
      </c>
      <c r="H9" s="47"/>
      <c r="I9" s="33">
        <v>0.4</v>
      </c>
      <c r="J9" s="33"/>
      <c r="K9" s="33">
        <v>0.4</v>
      </c>
      <c r="L9" s="33"/>
      <c r="M9" s="18">
        <v>0.4</v>
      </c>
      <c r="N9" s="31" t="s">
        <v>39</v>
      </c>
      <c r="O9" s="32"/>
      <c r="P9" s="18" t="s">
        <v>39</v>
      </c>
      <c r="Q9" s="33">
        <v>0.4</v>
      </c>
      <c r="R9" s="33"/>
      <c r="S9" s="31">
        <v>0.4</v>
      </c>
      <c r="T9" s="32"/>
      <c r="U9" s="31">
        <v>0.4</v>
      </c>
      <c r="V9" s="32"/>
    </row>
    <row r="10" spans="1:22">
      <c r="A10" s="21">
        <f>A9+1</f>
        <v>3</v>
      </c>
      <c r="B10" s="3" t="s">
        <v>3</v>
      </c>
      <c r="C10" s="46">
        <v>1000</v>
      </c>
      <c r="D10" s="47"/>
      <c r="E10" s="46">
        <v>1500</v>
      </c>
      <c r="F10" s="47"/>
      <c r="G10" s="46">
        <v>1500</v>
      </c>
      <c r="H10" s="47"/>
      <c r="I10" s="33">
        <v>1500</v>
      </c>
      <c r="J10" s="33">
        <v>1500</v>
      </c>
      <c r="K10" s="33">
        <v>1500</v>
      </c>
      <c r="L10" s="33"/>
      <c r="M10" s="18">
        <v>1500</v>
      </c>
      <c r="N10" s="31">
        <v>750</v>
      </c>
      <c r="O10" s="32"/>
      <c r="P10" s="18">
        <v>1000</v>
      </c>
      <c r="Q10" s="33">
        <v>1000</v>
      </c>
      <c r="R10" s="33"/>
      <c r="S10" s="33">
        <v>1500</v>
      </c>
      <c r="T10" s="33"/>
      <c r="U10" s="33">
        <v>1500</v>
      </c>
      <c r="V10" s="33"/>
    </row>
    <row r="11" spans="1:22">
      <c r="A11" s="21">
        <f t="shared" ref="A11:A20" si="0">A10+1</f>
        <v>4</v>
      </c>
      <c r="B11" s="3" t="s">
        <v>4</v>
      </c>
      <c r="C11" s="46" t="s">
        <v>75</v>
      </c>
      <c r="D11" s="47"/>
      <c r="E11" s="46" t="s">
        <v>40</v>
      </c>
      <c r="F11" s="47"/>
      <c r="G11" s="46" t="s">
        <v>60</v>
      </c>
      <c r="H11" s="47"/>
      <c r="I11" s="33" t="s">
        <v>33</v>
      </c>
      <c r="J11" s="33" t="s">
        <v>33</v>
      </c>
      <c r="K11" s="33" t="s">
        <v>20</v>
      </c>
      <c r="L11" s="33"/>
      <c r="M11" s="18" t="s">
        <v>5</v>
      </c>
      <c r="N11" s="31" t="s">
        <v>34</v>
      </c>
      <c r="O11" s="32"/>
      <c r="P11" s="18" t="s">
        <v>34</v>
      </c>
      <c r="Q11" s="33" t="s">
        <v>21</v>
      </c>
      <c r="R11" s="33"/>
      <c r="S11" s="33" t="s">
        <v>67</v>
      </c>
      <c r="T11" s="33"/>
      <c r="U11" s="33" t="s">
        <v>67</v>
      </c>
      <c r="V11" s="33"/>
    </row>
    <row r="12" spans="1:22">
      <c r="A12" s="21">
        <f t="shared" si="0"/>
        <v>5</v>
      </c>
      <c r="B12" s="3" t="s">
        <v>6</v>
      </c>
      <c r="C12" s="46" t="s">
        <v>8</v>
      </c>
      <c r="D12" s="47"/>
      <c r="E12" s="46" t="s">
        <v>7</v>
      </c>
      <c r="F12" s="47"/>
      <c r="G12" s="46" t="s">
        <v>8</v>
      </c>
      <c r="H12" s="47"/>
      <c r="I12" s="33" t="s">
        <v>7</v>
      </c>
      <c r="J12" s="33" t="s">
        <v>7</v>
      </c>
      <c r="K12" s="33" t="s">
        <v>8</v>
      </c>
      <c r="L12" s="33"/>
      <c r="M12" s="18" t="s">
        <v>7</v>
      </c>
      <c r="N12" s="31" t="s">
        <v>8</v>
      </c>
      <c r="O12" s="32"/>
      <c r="P12" s="18" t="s">
        <v>8</v>
      </c>
      <c r="Q12" s="33" t="s">
        <v>22</v>
      </c>
      <c r="R12" s="33"/>
      <c r="S12" s="33" t="s">
        <v>8</v>
      </c>
      <c r="T12" s="33"/>
      <c r="U12" s="33" t="s">
        <v>8</v>
      </c>
      <c r="V12" s="33"/>
    </row>
    <row r="13" spans="1:22" ht="43.5" customHeight="1">
      <c r="A13" s="21">
        <f t="shared" si="0"/>
        <v>6</v>
      </c>
      <c r="B13" s="3" t="s">
        <v>9</v>
      </c>
      <c r="C13" s="31" t="s">
        <v>78</v>
      </c>
      <c r="D13" s="32"/>
      <c r="E13" s="31" t="s">
        <v>20</v>
      </c>
      <c r="F13" s="32"/>
      <c r="G13" s="38" t="s">
        <v>65</v>
      </c>
      <c r="H13" s="38"/>
      <c r="I13" s="33" t="s">
        <v>35</v>
      </c>
      <c r="J13" s="33" t="s">
        <v>35</v>
      </c>
      <c r="K13" s="33" t="s">
        <v>72</v>
      </c>
      <c r="L13" s="33"/>
      <c r="M13" s="18" t="s">
        <v>10</v>
      </c>
      <c r="N13" s="31" t="s">
        <v>10</v>
      </c>
      <c r="O13" s="32"/>
      <c r="P13" s="18" t="s">
        <v>10</v>
      </c>
      <c r="Q13" s="33" t="s">
        <v>46</v>
      </c>
      <c r="R13" s="33"/>
      <c r="S13" s="33" t="s">
        <v>10</v>
      </c>
      <c r="T13" s="33"/>
      <c r="U13" s="33" t="s">
        <v>10</v>
      </c>
      <c r="V13" s="33"/>
    </row>
    <row r="14" spans="1:22">
      <c r="A14" s="21">
        <f t="shared" si="0"/>
        <v>7</v>
      </c>
      <c r="B14" s="3" t="s">
        <v>11</v>
      </c>
      <c r="C14" s="39">
        <v>0.35</v>
      </c>
      <c r="D14" s="40"/>
      <c r="E14" s="39">
        <v>0.40500000000000003</v>
      </c>
      <c r="F14" s="40"/>
      <c r="G14" s="13">
        <v>0.35099999999999998</v>
      </c>
      <c r="H14" s="13">
        <f>G14</f>
        <v>0.35099999999999998</v>
      </c>
      <c r="I14" s="48">
        <v>0.4</v>
      </c>
      <c r="J14" s="33">
        <v>0.39800000000000002</v>
      </c>
      <c r="K14" s="48">
        <v>0.33700000000000002</v>
      </c>
      <c r="L14" s="33"/>
      <c r="M14" s="23">
        <v>0.44</v>
      </c>
      <c r="N14" s="39">
        <v>0.44</v>
      </c>
      <c r="O14" s="40"/>
      <c r="P14" s="23">
        <v>0.44</v>
      </c>
      <c r="Q14" s="49">
        <v>0.42</v>
      </c>
      <c r="R14" s="49"/>
      <c r="S14" s="39">
        <v>0.35</v>
      </c>
      <c r="T14" s="40"/>
      <c r="U14" s="34">
        <v>0.42</v>
      </c>
      <c r="V14" s="35"/>
    </row>
    <row r="15" spans="1:22">
      <c r="A15" s="21">
        <f t="shared" si="0"/>
        <v>8</v>
      </c>
      <c r="B15" s="3" t="s">
        <v>12</v>
      </c>
      <c r="C15" s="12">
        <v>10750</v>
      </c>
      <c r="D15" s="12">
        <f>C15*5</f>
        <v>53750</v>
      </c>
      <c r="E15" s="12">
        <v>13500</v>
      </c>
      <c r="F15" s="12">
        <f>E15*2</f>
        <v>27000</v>
      </c>
      <c r="G15" s="12" t="s">
        <v>61</v>
      </c>
      <c r="H15" s="12">
        <f>8700*3</f>
        <v>26100</v>
      </c>
      <c r="I15" s="18">
        <v>8423</v>
      </c>
      <c r="J15" s="18">
        <f>I15*2</f>
        <v>16846</v>
      </c>
      <c r="K15" s="24">
        <v>7333</v>
      </c>
      <c r="L15" s="18">
        <f>K15*4</f>
        <v>29332</v>
      </c>
      <c r="M15" s="18">
        <v>18600</v>
      </c>
      <c r="N15" s="18">
        <v>27600</v>
      </c>
      <c r="O15" s="18">
        <f>N15*2</f>
        <v>55200</v>
      </c>
      <c r="P15" s="18">
        <v>27600</v>
      </c>
      <c r="Q15" s="18">
        <v>8500</v>
      </c>
      <c r="R15" s="18">
        <f>Q15*3</f>
        <v>25500</v>
      </c>
      <c r="S15" s="18">
        <v>5000</v>
      </c>
      <c r="T15" s="18">
        <v>20000</v>
      </c>
      <c r="U15" s="18">
        <v>4100</v>
      </c>
      <c r="V15" s="18">
        <f>U15*4</f>
        <v>16400</v>
      </c>
    </row>
    <row r="16" spans="1:22" ht="15" customHeight="1">
      <c r="A16" s="21">
        <f t="shared" si="0"/>
        <v>9</v>
      </c>
      <c r="B16" s="3" t="s">
        <v>16</v>
      </c>
      <c r="C16" s="12">
        <v>100</v>
      </c>
      <c r="D16" s="12">
        <f>C16*5</f>
        <v>500</v>
      </c>
      <c r="E16" s="12">
        <v>247</v>
      </c>
      <c r="F16" s="12">
        <f>E16*2</f>
        <v>494</v>
      </c>
      <c r="G16" s="12">
        <v>188</v>
      </c>
      <c r="H16" s="12">
        <f>G16*3</f>
        <v>564</v>
      </c>
      <c r="I16" s="18">
        <v>216.51</v>
      </c>
      <c r="J16" s="18">
        <f>I16*2</f>
        <v>433.02</v>
      </c>
      <c r="K16" s="18">
        <v>129.55000000000001</v>
      </c>
      <c r="L16" s="18">
        <f>K16*4</f>
        <v>518.20000000000005</v>
      </c>
      <c r="M16" s="18">
        <v>390</v>
      </c>
      <c r="N16" s="18">
        <v>220</v>
      </c>
      <c r="O16" s="18">
        <f>N16*2</f>
        <v>440</v>
      </c>
      <c r="P16" s="18">
        <v>330</v>
      </c>
      <c r="Q16" s="18">
        <v>150</v>
      </c>
      <c r="R16" s="18">
        <f>Q16*3</f>
        <v>450</v>
      </c>
      <c r="S16" s="18">
        <v>125.2</v>
      </c>
      <c r="T16" s="18">
        <f>S16*4</f>
        <v>500.8</v>
      </c>
      <c r="U16" s="18">
        <v>91</v>
      </c>
      <c r="V16" s="18">
        <f>U16*4</f>
        <v>364</v>
      </c>
    </row>
    <row r="17" spans="1:22" ht="156" customHeight="1">
      <c r="A17" s="21">
        <f t="shared" si="0"/>
        <v>10</v>
      </c>
      <c r="B17" s="3" t="s">
        <v>14</v>
      </c>
      <c r="C17" s="31" t="s">
        <v>37</v>
      </c>
      <c r="D17" s="32"/>
      <c r="E17" s="31" t="s">
        <v>37</v>
      </c>
      <c r="F17" s="32"/>
      <c r="G17" s="31" t="s">
        <v>37</v>
      </c>
      <c r="H17" s="32"/>
      <c r="I17" s="33" t="s">
        <v>37</v>
      </c>
      <c r="J17" s="33"/>
      <c r="K17" s="33" t="s">
        <v>37</v>
      </c>
      <c r="L17" s="33"/>
      <c r="M17" s="18" t="s">
        <v>43</v>
      </c>
      <c r="N17" s="33" t="s">
        <v>108</v>
      </c>
      <c r="O17" s="33"/>
      <c r="P17" s="33"/>
      <c r="Q17" s="33" t="s">
        <v>83</v>
      </c>
      <c r="R17" s="33"/>
      <c r="S17" s="33" t="s">
        <v>86</v>
      </c>
      <c r="T17" s="33"/>
      <c r="U17" s="33" t="s">
        <v>111</v>
      </c>
      <c r="V17" s="33"/>
    </row>
    <row r="18" spans="1:22" ht="114" customHeight="1">
      <c r="A18" s="21">
        <f t="shared" si="0"/>
        <v>11</v>
      </c>
      <c r="B18" s="3" t="s">
        <v>15</v>
      </c>
      <c r="C18" s="31" t="s">
        <v>37</v>
      </c>
      <c r="D18" s="32"/>
      <c r="E18" s="31" t="s">
        <v>44</v>
      </c>
      <c r="F18" s="32"/>
      <c r="G18" s="31" t="s">
        <v>37</v>
      </c>
      <c r="H18" s="32"/>
      <c r="I18" s="31" t="s">
        <v>37</v>
      </c>
      <c r="J18" s="32"/>
      <c r="K18" s="31" t="s">
        <v>37</v>
      </c>
      <c r="L18" s="32"/>
      <c r="M18" s="18" t="s">
        <v>29</v>
      </c>
      <c r="N18" s="33" t="s">
        <v>109</v>
      </c>
      <c r="O18" s="33"/>
      <c r="P18" s="33"/>
      <c r="Q18" s="31" t="s">
        <v>84</v>
      </c>
      <c r="R18" s="32"/>
      <c r="S18" s="33" t="s">
        <v>85</v>
      </c>
      <c r="T18" s="33"/>
      <c r="U18" s="38" t="s">
        <v>113</v>
      </c>
      <c r="V18" s="38"/>
    </row>
    <row r="19" spans="1:22" ht="30">
      <c r="A19" s="21">
        <f t="shared" si="0"/>
        <v>12</v>
      </c>
      <c r="B19" s="3" t="s">
        <v>26</v>
      </c>
      <c r="C19" s="31">
        <v>30000</v>
      </c>
      <c r="D19" s="32"/>
      <c r="E19" s="31">
        <v>45000</v>
      </c>
      <c r="F19" s="32"/>
      <c r="G19" s="45">
        <v>48000</v>
      </c>
      <c r="H19" s="45"/>
      <c r="I19" s="17">
        <v>60000</v>
      </c>
      <c r="J19" s="17">
        <v>60000</v>
      </c>
      <c r="K19" s="17">
        <v>60000</v>
      </c>
      <c r="L19" s="17">
        <v>60000</v>
      </c>
      <c r="M19" s="17">
        <v>60000</v>
      </c>
      <c r="N19" s="36">
        <v>90000</v>
      </c>
      <c r="O19" s="44"/>
      <c r="P19" s="37"/>
      <c r="Q19" s="17">
        <v>50000</v>
      </c>
      <c r="R19" s="17">
        <v>50000</v>
      </c>
      <c r="S19" s="29">
        <v>15000</v>
      </c>
      <c r="T19" s="29"/>
      <c r="U19" s="29">
        <v>15000</v>
      </c>
      <c r="V19" s="29"/>
    </row>
    <row r="20" spans="1:22" ht="30">
      <c r="A20" s="21">
        <f t="shared" si="0"/>
        <v>13</v>
      </c>
      <c r="B20" s="22" t="s">
        <v>42</v>
      </c>
      <c r="C20" s="14">
        <f>C21-C21*96/100</f>
        <v>685544.08000000007</v>
      </c>
      <c r="D20" s="14">
        <f>D21-D21*96/100</f>
        <v>3427720.400000006</v>
      </c>
      <c r="E20" s="14">
        <v>1091800</v>
      </c>
      <c r="F20" s="14">
        <f>E20*2</f>
        <v>2183600</v>
      </c>
      <c r="G20" s="14">
        <f t="shared" ref="G20:N20" si="1">G21-G21*96/100</f>
        <v>942240</v>
      </c>
      <c r="H20" s="14">
        <f t="shared" si="1"/>
        <v>2826720</v>
      </c>
      <c r="I20" s="6">
        <f t="shared" si="1"/>
        <v>1451833.6000000015</v>
      </c>
      <c r="J20" s="6">
        <f t="shared" si="1"/>
        <v>2903667.200000003</v>
      </c>
      <c r="K20" s="6">
        <f t="shared" si="1"/>
        <v>869415.24799999967</v>
      </c>
      <c r="L20" s="6">
        <f t="shared" si="1"/>
        <v>3192974.6480000019</v>
      </c>
      <c r="M20" s="6">
        <f t="shared" si="1"/>
        <v>2082060</v>
      </c>
      <c r="N20" s="6">
        <f t="shared" si="1"/>
        <v>1450400</v>
      </c>
      <c r="O20" s="6">
        <f>N20*2</f>
        <v>2900800</v>
      </c>
      <c r="P20" s="6">
        <f>P21-P21*96/100</f>
        <v>2071920</v>
      </c>
      <c r="Q20" s="6">
        <f>Q21-Q21*96/100</f>
        <v>892000</v>
      </c>
      <c r="R20" s="6">
        <f>R21-R21*96/100</f>
        <v>2676000</v>
      </c>
      <c r="S20" s="6">
        <v>208000</v>
      </c>
      <c r="T20" s="6">
        <f>S20*4</f>
        <v>832000</v>
      </c>
      <c r="U20" s="6">
        <v>208000</v>
      </c>
      <c r="V20" s="6">
        <f>U20*4</f>
        <v>832000</v>
      </c>
    </row>
    <row r="21" spans="1:22">
      <c r="A21" s="52">
        <v>14</v>
      </c>
      <c r="B21" s="55" t="s">
        <v>36</v>
      </c>
      <c r="C21" s="14">
        <f>C22*52</f>
        <v>17138602</v>
      </c>
      <c r="D21" s="27">
        <f>C21*5</f>
        <v>85693010</v>
      </c>
      <c r="E21" s="27">
        <v>53916380</v>
      </c>
      <c r="F21" s="27">
        <f>E21*2</f>
        <v>107832760</v>
      </c>
      <c r="G21" s="14">
        <f>G22*52</f>
        <v>23556000</v>
      </c>
      <c r="H21" s="27">
        <f>G21*3</f>
        <v>70668000</v>
      </c>
      <c r="I21" s="6">
        <f>I22*56</f>
        <v>36295840</v>
      </c>
      <c r="J21" s="28">
        <f>J22*56</f>
        <v>72591680</v>
      </c>
      <c r="K21" s="6">
        <f>K22*57</f>
        <v>21735381.199999999</v>
      </c>
      <c r="L21" s="28">
        <f>L22*57</f>
        <v>79824366.200000003</v>
      </c>
      <c r="M21" s="28">
        <v>52051500</v>
      </c>
      <c r="N21" s="6">
        <f>17800000+1250000+350000+5450000+6500000+4500000+410000</f>
        <v>36260000</v>
      </c>
      <c r="O21" s="28">
        <f>N21*2</f>
        <v>72520000</v>
      </c>
      <c r="P21" s="28">
        <f>44100000+1480000+1323000+3350000+850000+695000</f>
        <v>51798000</v>
      </c>
      <c r="Q21" s="6">
        <f>66900000/3</f>
        <v>22300000</v>
      </c>
      <c r="R21" s="28">
        <f>Q21*3</f>
        <v>66900000</v>
      </c>
      <c r="S21" s="6">
        <v>9994260</v>
      </c>
      <c r="T21" s="28">
        <f>S21*4</f>
        <v>39977040</v>
      </c>
      <c r="U21" s="6">
        <f>5910000+1800000+420000+(850000/2)</f>
        <v>8555000</v>
      </c>
      <c r="V21" s="28">
        <f>U21*4</f>
        <v>34220000</v>
      </c>
    </row>
    <row r="22" spans="1:22">
      <c r="A22" s="53"/>
      <c r="B22" s="55"/>
      <c r="C22" s="8">
        <f>D22/5</f>
        <v>329588.5</v>
      </c>
      <c r="D22" s="8">
        <f>(1318354/4)*5</f>
        <v>1647942.5</v>
      </c>
      <c r="E22" s="8">
        <f>E21/52</f>
        <v>1036853.4615384615</v>
      </c>
      <c r="F22" s="8">
        <f>E22*2</f>
        <v>2073706.923076923</v>
      </c>
      <c r="G22" s="8">
        <v>453000</v>
      </c>
      <c r="H22" s="8">
        <f>G22*3</f>
        <v>1359000</v>
      </c>
      <c r="I22" s="7">
        <f>633265+14875</f>
        <v>648140</v>
      </c>
      <c r="J22" s="7">
        <f>I22*2</f>
        <v>1296280</v>
      </c>
      <c r="K22" s="7">
        <f>201952+4861.6+14000+(7347281+1801725)/57</f>
        <v>381322.47719298245</v>
      </c>
      <c r="L22" s="7">
        <f>(201952*4)+4861.6+14000+26550+((7347281*4)+1801725)/57</f>
        <v>1400427.4771929826</v>
      </c>
      <c r="M22" s="8">
        <f>M21/52</f>
        <v>1000990.3846153846</v>
      </c>
      <c r="N22" s="8">
        <f>N21/52</f>
        <v>697307.69230769225</v>
      </c>
      <c r="O22" s="8">
        <f>N22*2</f>
        <v>1394615.3846153845</v>
      </c>
      <c r="P22" s="8">
        <f>P21/52</f>
        <v>996115.38461538462</v>
      </c>
      <c r="Q22" s="8">
        <f>Q21/52</f>
        <v>428846.15384615387</v>
      </c>
      <c r="R22" s="8">
        <f>Q22*3</f>
        <v>1286538.4615384615</v>
      </c>
      <c r="S22" s="8">
        <f>S21/52</f>
        <v>192197.30769230769</v>
      </c>
      <c r="T22" s="8">
        <f>S22*4</f>
        <v>768789.23076923075</v>
      </c>
      <c r="U22" s="8">
        <f>U21/56</f>
        <v>152767.85714285713</v>
      </c>
      <c r="V22" s="8">
        <f>U22*4</f>
        <v>611071.42857142852</v>
      </c>
    </row>
    <row r="23" spans="1:22">
      <c r="A23" s="54"/>
      <c r="B23" s="55"/>
      <c r="C23" s="36" t="s">
        <v>27</v>
      </c>
      <c r="D23" s="37"/>
      <c r="E23" s="36" t="s">
        <v>27</v>
      </c>
      <c r="F23" s="37"/>
      <c r="G23" s="29" t="s">
        <v>27</v>
      </c>
      <c r="H23" s="29"/>
      <c r="I23" s="36" t="s">
        <v>27</v>
      </c>
      <c r="J23" s="37"/>
      <c r="K23" s="36" t="s">
        <v>27</v>
      </c>
      <c r="L23" s="37"/>
      <c r="M23" s="17" t="s">
        <v>27</v>
      </c>
      <c r="N23" s="36" t="s">
        <v>23</v>
      </c>
      <c r="O23" s="44"/>
      <c r="P23" s="37"/>
      <c r="Q23" s="36" t="s">
        <v>27</v>
      </c>
      <c r="R23" s="37"/>
      <c r="S23" s="29" t="s">
        <v>27</v>
      </c>
      <c r="T23" s="29"/>
      <c r="U23" s="29" t="s">
        <v>27</v>
      </c>
      <c r="V23" s="29"/>
    </row>
    <row r="24" spans="1:22">
      <c r="A24" s="21">
        <v>15</v>
      </c>
      <c r="B24" s="3" t="s">
        <v>52</v>
      </c>
      <c r="C24" s="41" t="s">
        <v>76</v>
      </c>
      <c r="D24" s="41"/>
      <c r="E24" s="41" t="s">
        <v>53</v>
      </c>
      <c r="F24" s="41"/>
      <c r="G24" s="41" t="s">
        <v>77</v>
      </c>
      <c r="H24" s="41"/>
      <c r="I24" s="29" t="s">
        <v>55</v>
      </c>
      <c r="J24" s="29"/>
      <c r="K24" s="29" t="s">
        <v>73</v>
      </c>
      <c r="L24" s="29"/>
      <c r="M24" s="36" t="s">
        <v>54</v>
      </c>
      <c r="N24" s="44"/>
      <c r="O24" s="44"/>
      <c r="P24" s="37"/>
      <c r="Q24" s="29" t="s">
        <v>56</v>
      </c>
      <c r="R24" s="29"/>
      <c r="S24" s="29" t="s">
        <v>69</v>
      </c>
      <c r="T24" s="29"/>
      <c r="U24" s="29" t="s">
        <v>112</v>
      </c>
      <c r="V24" s="29"/>
    </row>
    <row r="25" spans="1:22">
      <c r="A25" s="21">
        <v>16</v>
      </c>
      <c r="B25" s="3" t="s">
        <v>57</v>
      </c>
      <c r="C25" s="41">
        <f>20*365*24</f>
        <v>175200</v>
      </c>
      <c r="D25" s="41"/>
      <c r="E25" s="41">
        <v>480000</v>
      </c>
      <c r="F25" s="41"/>
      <c r="G25" s="41">
        <v>240000</v>
      </c>
      <c r="H25" s="41"/>
      <c r="I25" s="29">
        <v>240000</v>
      </c>
      <c r="J25" s="29"/>
      <c r="K25" s="29">
        <v>190000</v>
      </c>
      <c r="L25" s="29"/>
      <c r="M25" s="36">
        <v>175000</v>
      </c>
      <c r="N25" s="44"/>
      <c r="O25" s="44"/>
      <c r="P25" s="37"/>
      <c r="Q25" s="29">
        <v>180000</v>
      </c>
      <c r="R25" s="29"/>
      <c r="S25" s="29">
        <v>60000</v>
      </c>
      <c r="T25" s="29"/>
      <c r="U25" s="29">
        <v>60000</v>
      </c>
      <c r="V25" s="29"/>
    </row>
    <row r="26" spans="1:22">
      <c r="A26" s="9"/>
      <c r="B26" s="10"/>
      <c r="C26" s="10"/>
      <c r="D26" s="10"/>
      <c r="E26" s="11"/>
      <c r="F26" s="11"/>
      <c r="G26" s="15"/>
      <c r="H26" s="15"/>
      <c r="I26" s="11"/>
      <c r="J26" s="11"/>
      <c r="K26" s="11"/>
      <c r="L26" s="11"/>
      <c r="M26" s="11"/>
      <c r="N26" s="11"/>
      <c r="O26" s="11"/>
      <c r="P26" s="11"/>
      <c r="Q26" s="11"/>
      <c r="R26" s="11"/>
    </row>
    <row r="27" spans="1:22">
      <c r="A27" s="9"/>
      <c r="B27" s="10"/>
      <c r="C27" s="10"/>
      <c r="D27" s="10"/>
      <c r="G27" s="15"/>
      <c r="H27" s="15"/>
      <c r="I27" s="11"/>
      <c r="J27" s="11"/>
      <c r="K27" s="11"/>
      <c r="L27" s="11"/>
      <c r="M27" s="11"/>
      <c r="N27" s="11"/>
      <c r="O27" s="11"/>
      <c r="P27" s="11"/>
      <c r="Q27" s="11"/>
      <c r="R27" s="11"/>
    </row>
    <row r="28" spans="1:22">
      <c r="S28" s="25"/>
      <c r="T28" s="26"/>
    </row>
    <row r="29" spans="1:22">
      <c r="A29" s="51" t="s">
        <v>17</v>
      </c>
      <c r="B29" s="51"/>
      <c r="C29" s="20"/>
      <c r="D29" s="20"/>
      <c r="M29" s="2" t="s">
        <v>18</v>
      </c>
      <c r="S29" s="25"/>
      <c r="T29" s="25"/>
    </row>
  </sheetData>
  <mergeCells count="133">
    <mergeCell ref="E5:F5"/>
    <mergeCell ref="E9:F9"/>
    <mergeCell ref="E10:F10"/>
    <mergeCell ref="E11:F11"/>
    <mergeCell ref="E12:F12"/>
    <mergeCell ref="E13:F13"/>
    <mergeCell ref="B4:B6"/>
    <mergeCell ref="C4:D4"/>
    <mergeCell ref="C9:D9"/>
    <mergeCell ref="C10:D10"/>
    <mergeCell ref="C11:D11"/>
    <mergeCell ref="C5:D5"/>
    <mergeCell ref="E4:F4"/>
    <mergeCell ref="G12:H12"/>
    <mergeCell ref="C12:D12"/>
    <mergeCell ref="C24:D24"/>
    <mergeCell ref="C25:D25"/>
    <mergeCell ref="C13:D13"/>
    <mergeCell ref="C17:D17"/>
    <mergeCell ref="C18:D18"/>
    <mergeCell ref="C14:D14"/>
    <mergeCell ref="C19:D19"/>
    <mergeCell ref="C23:D23"/>
    <mergeCell ref="S25:T25"/>
    <mergeCell ref="I5:I6"/>
    <mergeCell ref="J5:J6"/>
    <mergeCell ref="M5:M6"/>
    <mergeCell ref="P5:P6"/>
    <mergeCell ref="S19:T19"/>
    <mergeCell ref="S18:T18"/>
    <mergeCell ref="S23:T23"/>
    <mergeCell ref="S12:T12"/>
    <mergeCell ref="S13:T13"/>
    <mergeCell ref="S14:T14"/>
    <mergeCell ref="S17:T17"/>
    <mergeCell ref="K14:L14"/>
    <mergeCell ref="K17:L17"/>
    <mergeCell ref="S24:T24"/>
    <mergeCell ref="Q25:R25"/>
    <mergeCell ref="N18:P18"/>
    <mergeCell ref="Q18:R18"/>
    <mergeCell ref="K18:L18"/>
    <mergeCell ref="K25:L25"/>
    <mergeCell ref="N23:P23"/>
    <mergeCell ref="M24:P24"/>
    <mergeCell ref="M25:P25"/>
    <mergeCell ref="I17:J17"/>
    <mergeCell ref="K12:L12"/>
    <mergeCell ref="K13:L13"/>
    <mergeCell ref="S11:T11"/>
    <mergeCell ref="I9:J9"/>
    <mergeCell ref="Q10:R10"/>
    <mergeCell ref="I12:J12"/>
    <mergeCell ref="I13:J13"/>
    <mergeCell ref="Q12:R12"/>
    <mergeCell ref="Q9:R9"/>
    <mergeCell ref="N17:P17"/>
    <mergeCell ref="A1:T1"/>
    <mergeCell ref="A2:T2"/>
    <mergeCell ref="A29:B29"/>
    <mergeCell ref="A4:A7"/>
    <mergeCell ref="A21:A23"/>
    <mergeCell ref="B21:B23"/>
    <mergeCell ref="Q17:R17"/>
    <mergeCell ref="Q4:R4"/>
    <mergeCell ref="I4:J4"/>
    <mergeCell ref="S9:T9"/>
    <mergeCell ref="Q5:R5"/>
    <mergeCell ref="G4:H4"/>
    <mergeCell ref="G5:H5"/>
    <mergeCell ref="G13:H13"/>
    <mergeCell ref="I10:J10"/>
    <mergeCell ref="I11:J11"/>
    <mergeCell ref="G9:H9"/>
    <mergeCell ref="G10:H10"/>
    <mergeCell ref="G11:H11"/>
    <mergeCell ref="S10:T10"/>
    <mergeCell ref="Q24:R24"/>
    <mergeCell ref="G23:H23"/>
    <mergeCell ref="G24:H24"/>
    <mergeCell ref="K23:L23"/>
    <mergeCell ref="Q23:R23"/>
    <mergeCell ref="K24:L24"/>
    <mergeCell ref="I14:J14"/>
    <mergeCell ref="Q14:R14"/>
    <mergeCell ref="Q13:R13"/>
    <mergeCell ref="G25:H25"/>
    <mergeCell ref="I18:J18"/>
    <mergeCell ref="I23:J23"/>
    <mergeCell ref="G18:H18"/>
    <mergeCell ref="G19:H19"/>
    <mergeCell ref="I24:J24"/>
    <mergeCell ref="I25:J25"/>
    <mergeCell ref="N19:P19"/>
    <mergeCell ref="S5:T5"/>
    <mergeCell ref="Q11:R11"/>
    <mergeCell ref="M4:P4"/>
    <mergeCell ref="K4:L4"/>
    <mergeCell ref="K5:K6"/>
    <mergeCell ref="L5:L6"/>
    <mergeCell ref="K9:L9"/>
    <mergeCell ref="K10:L10"/>
    <mergeCell ref="S4:T4"/>
    <mergeCell ref="E19:F19"/>
    <mergeCell ref="E24:F24"/>
    <mergeCell ref="E25:F25"/>
    <mergeCell ref="N5:O5"/>
    <mergeCell ref="N9:O9"/>
    <mergeCell ref="N10:O10"/>
    <mergeCell ref="N11:O11"/>
    <mergeCell ref="N12:O12"/>
    <mergeCell ref="N13:O13"/>
    <mergeCell ref="N14:O14"/>
    <mergeCell ref="E23:F23"/>
    <mergeCell ref="G17:H17"/>
    <mergeCell ref="K11:L11"/>
    <mergeCell ref="U18:V18"/>
    <mergeCell ref="U19:V19"/>
    <mergeCell ref="U23:V23"/>
    <mergeCell ref="U17:V17"/>
    <mergeCell ref="E14:F14"/>
    <mergeCell ref="E17:F17"/>
    <mergeCell ref="E18:F18"/>
    <mergeCell ref="U24:V24"/>
    <mergeCell ref="U25:V25"/>
    <mergeCell ref="U4:V4"/>
    <mergeCell ref="U5:V5"/>
    <mergeCell ref="U9:V9"/>
    <mergeCell ref="U10:V10"/>
    <mergeCell ref="U11:V11"/>
    <mergeCell ref="U12:V12"/>
    <mergeCell ref="U13:V13"/>
    <mergeCell ref="U14:V14"/>
  </mergeCells>
  <phoneticPr fontId="5" type="noConversion"/>
  <pageMargins left="0.23622047244094491" right="0.23622047244094491" top="7.874015748031496E-2" bottom="7.874015748031496E-2" header="0.31496062992125984" footer="0.31496062992125984"/>
  <pageSetup paperSize="9" scale="7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U31"/>
  <sheetViews>
    <sheetView workbookViewId="0">
      <selection activeCell="C8" sqref="C8"/>
    </sheetView>
  </sheetViews>
  <sheetFormatPr defaultRowHeight="15"/>
  <cols>
    <col min="1" max="1" width="4.140625" style="1" bestFit="1" customWidth="1"/>
    <col min="2" max="2" width="36.28515625" style="1" bestFit="1" customWidth="1"/>
    <col min="3" max="5" width="16.28515625" style="1" bestFit="1" customWidth="1"/>
    <col min="6" max="6" width="17.42578125" style="1" bestFit="1" customWidth="1"/>
    <col min="7" max="8" width="16.28515625" style="1" bestFit="1" customWidth="1"/>
    <col min="9" max="9" width="16.5703125" style="1" bestFit="1" customWidth="1"/>
    <col min="10" max="10" width="18.28515625" style="1" bestFit="1" customWidth="1"/>
    <col min="11" max="11" width="16.5703125" style="1" bestFit="1" customWidth="1"/>
    <col min="12" max="12" width="18.28515625" style="1" bestFit="1" customWidth="1"/>
    <col min="13" max="13" width="21.140625" style="1" customWidth="1"/>
    <col min="14" max="15" width="16.28515625" style="1" bestFit="1" customWidth="1"/>
    <col min="16" max="16" width="25.140625" style="1" bestFit="1" customWidth="1"/>
    <col min="17" max="18" width="16.28515625" style="1" bestFit="1" customWidth="1"/>
    <col min="19" max="19" width="15.140625" style="1" bestFit="1" customWidth="1"/>
    <col min="20" max="20" width="16.28515625" style="1" bestFit="1" customWidth="1"/>
    <col min="21" max="21" width="18.7109375" style="1" bestFit="1" customWidth="1"/>
    <col min="22" max="16384" width="9.140625" style="1"/>
  </cols>
  <sheetData>
    <row r="1" spans="1:20">
      <c r="A1" s="50" t="s">
        <v>0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</row>
    <row r="2" spans="1:20">
      <c r="A2" s="50" t="s">
        <v>28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</row>
    <row r="3" spans="1:20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</row>
    <row r="4" spans="1:20" ht="66" customHeight="1">
      <c r="A4" s="30" t="s">
        <v>38</v>
      </c>
      <c r="B4" s="56" t="s">
        <v>1</v>
      </c>
      <c r="C4" s="42" t="s">
        <v>79</v>
      </c>
      <c r="D4" s="43"/>
      <c r="E4" s="42" t="s">
        <v>80</v>
      </c>
      <c r="F4" s="43"/>
      <c r="G4" s="30" t="s">
        <v>81</v>
      </c>
      <c r="H4" s="30"/>
      <c r="I4" s="30" t="s">
        <v>30</v>
      </c>
      <c r="J4" s="30"/>
      <c r="K4" s="30" t="s">
        <v>70</v>
      </c>
      <c r="L4" s="30"/>
      <c r="M4" s="30" t="s">
        <v>50</v>
      </c>
      <c r="N4" s="30"/>
      <c r="O4" s="30"/>
      <c r="P4" s="30"/>
      <c r="Q4" s="30" t="s">
        <v>90</v>
      </c>
      <c r="R4" s="30"/>
      <c r="S4" s="30" t="s">
        <v>91</v>
      </c>
      <c r="T4" s="30"/>
    </row>
    <row r="5" spans="1:20" ht="63" customHeight="1">
      <c r="A5" s="30"/>
      <c r="B5" s="57"/>
      <c r="C5" s="30" t="s">
        <v>82</v>
      </c>
      <c r="D5" s="30"/>
      <c r="E5" s="30" t="s">
        <v>58</v>
      </c>
      <c r="F5" s="30"/>
      <c r="G5" s="30" t="s">
        <v>63</v>
      </c>
      <c r="H5" s="30"/>
      <c r="I5" s="30" t="s">
        <v>24</v>
      </c>
      <c r="J5" s="30" t="s">
        <v>31</v>
      </c>
      <c r="K5" s="30" t="s">
        <v>71</v>
      </c>
      <c r="L5" s="30" t="s">
        <v>66</v>
      </c>
      <c r="M5" s="30" t="s">
        <v>48</v>
      </c>
      <c r="N5" s="42" t="s">
        <v>51</v>
      </c>
      <c r="O5" s="43"/>
      <c r="P5" s="30" t="s">
        <v>49</v>
      </c>
      <c r="Q5" s="30" t="s">
        <v>89</v>
      </c>
      <c r="R5" s="30"/>
      <c r="S5" s="30" t="s">
        <v>92</v>
      </c>
      <c r="T5" s="30"/>
    </row>
    <row r="6" spans="1:20">
      <c r="A6" s="30"/>
      <c r="B6" s="58"/>
      <c r="C6" s="19" t="s">
        <v>59</v>
      </c>
      <c r="D6" s="19" t="s">
        <v>74</v>
      </c>
      <c r="E6" s="19" t="s">
        <v>59</v>
      </c>
      <c r="F6" s="19" t="s">
        <v>87</v>
      </c>
      <c r="G6" s="19" t="s">
        <v>59</v>
      </c>
      <c r="H6" s="19" t="s">
        <v>64</v>
      </c>
      <c r="I6" s="30"/>
      <c r="J6" s="30"/>
      <c r="K6" s="30"/>
      <c r="L6" s="30"/>
      <c r="M6" s="30"/>
      <c r="N6" s="19" t="s">
        <v>59</v>
      </c>
      <c r="O6" s="19" t="s">
        <v>87</v>
      </c>
      <c r="P6" s="30"/>
      <c r="Q6" s="19" t="s">
        <v>24</v>
      </c>
      <c r="R6" s="19" t="s">
        <v>25</v>
      </c>
      <c r="S6" s="19" t="s">
        <v>24</v>
      </c>
      <c r="T6" s="19" t="s">
        <v>66</v>
      </c>
    </row>
    <row r="7" spans="1:20" ht="12" customHeight="1">
      <c r="A7" s="30"/>
      <c r="B7" s="5">
        <v>1</v>
      </c>
      <c r="C7" s="5">
        <v>2</v>
      </c>
      <c r="D7" s="5">
        <v>3</v>
      </c>
      <c r="E7" s="5">
        <v>4</v>
      </c>
      <c r="F7" s="5">
        <v>5</v>
      </c>
      <c r="G7" s="5">
        <v>6</v>
      </c>
      <c r="H7" s="5">
        <v>7</v>
      </c>
      <c r="I7" s="5">
        <v>8</v>
      </c>
      <c r="J7" s="5">
        <v>9</v>
      </c>
      <c r="K7" s="5">
        <v>10</v>
      </c>
      <c r="L7" s="5">
        <v>11</v>
      </c>
      <c r="M7" s="5">
        <v>12</v>
      </c>
      <c r="N7" s="5">
        <v>13</v>
      </c>
      <c r="O7" s="5">
        <v>14</v>
      </c>
      <c r="P7" s="5">
        <v>15</v>
      </c>
      <c r="Q7" s="5">
        <v>16</v>
      </c>
      <c r="R7" s="5">
        <v>17</v>
      </c>
      <c r="S7" s="5">
        <v>18</v>
      </c>
      <c r="T7" s="5">
        <v>19</v>
      </c>
    </row>
    <row r="8" spans="1:20">
      <c r="A8" s="21">
        <v>1</v>
      </c>
      <c r="B8" s="3" t="s">
        <v>2</v>
      </c>
      <c r="C8" s="18">
        <v>400</v>
      </c>
      <c r="D8" s="18">
        <f>C8*4</f>
        <v>1600</v>
      </c>
      <c r="E8" s="18">
        <v>1450</v>
      </c>
      <c r="F8" s="18">
        <f>E8*2</f>
        <v>2900</v>
      </c>
      <c r="G8" s="18">
        <v>600</v>
      </c>
      <c r="H8" s="18">
        <f>G8*3</f>
        <v>1800</v>
      </c>
      <c r="I8" s="18">
        <v>811</v>
      </c>
      <c r="J8" s="18">
        <f>I8*2</f>
        <v>1622</v>
      </c>
      <c r="K8" s="18">
        <v>555</v>
      </c>
      <c r="L8" s="18">
        <f>K8*3</f>
        <v>1665</v>
      </c>
      <c r="M8" s="18">
        <v>1500</v>
      </c>
      <c r="N8" s="18">
        <v>1000</v>
      </c>
      <c r="O8" s="18">
        <f>N8*2</f>
        <v>2000</v>
      </c>
      <c r="P8" s="18">
        <v>1500</v>
      </c>
      <c r="Q8" s="18">
        <v>500</v>
      </c>
      <c r="R8" s="18">
        <v>1500</v>
      </c>
      <c r="S8" s="18">
        <v>350</v>
      </c>
      <c r="T8" s="18">
        <f>S8*4</f>
        <v>1400</v>
      </c>
    </row>
    <row r="9" spans="1:20">
      <c r="A9" s="21">
        <v>2</v>
      </c>
      <c r="B9" s="3" t="s">
        <v>19</v>
      </c>
      <c r="C9" s="46">
        <v>0.8</v>
      </c>
      <c r="D9" s="47"/>
      <c r="E9" s="46">
        <v>0.8</v>
      </c>
      <c r="F9" s="47"/>
      <c r="G9" s="46">
        <v>0.8</v>
      </c>
      <c r="H9" s="47"/>
      <c r="I9" s="18" t="s">
        <v>20</v>
      </c>
      <c r="J9" s="18" t="s">
        <v>20</v>
      </c>
      <c r="K9" s="18" t="s">
        <v>20</v>
      </c>
      <c r="L9" s="18" t="s">
        <v>20</v>
      </c>
      <c r="M9" s="18">
        <v>0.8</v>
      </c>
      <c r="N9" s="18">
        <v>0.8</v>
      </c>
      <c r="O9" s="18"/>
      <c r="P9" s="18">
        <v>0.8</v>
      </c>
      <c r="Q9" s="33">
        <v>0.8</v>
      </c>
      <c r="R9" s="33"/>
      <c r="S9" s="18">
        <v>1</v>
      </c>
      <c r="T9" s="18">
        <v>1</v>
      </c>
    </row>
    <row r="10" spans="1:20">
      <c r="A10" s="21">
        <v>2</v>
      </c>
      <c r="B10" s="3" t="s">
        <v>32</v>
      </c>
      <c r="C10" s="46">
        <v>0.4</v>
      </c>
      <c r="D10" s="47"/>
      <c r="E10" s="46">
        <v>6.3</v>
      </c>
      <c r="F10" s="47"/>
      <c r="G10" s="46">
        <v>0.4</v>
      </c>
      <c r="H10" s="47"/>
      <c r="I10" s="33">
        <v>0.4</v>
      </c>
      <c r="J10" s="33"/>
      <c r="K10" s="33">
        <v>0.4</v>
      </c>
      <c r="L10" s="33"/>
      <c r="M10" s="18">
        <v>0.4</v>
      </c>
      <c r="N10" s="31" t="s">
        <v>39</v>
      </c>
      <c r="O10" s="32"/>
      <c r="P10" s="18" t="s">
        <v>39</v>
      </c>
      <c r="Q10" s="33">
        <v>0.4</v>
      </c>
      <c r="R10" s="33"/>
      <c r="S10" s="31">
        <v>0.4</v>
      </c>
      <c r="T10" s="32"/>
    </row>
    <row r="11" spans="1:20">
      <c r="A11" s="21">
        <v>3</v>
      </c>
      <c r="B11" s="3" t="s">
        <v>3</v>
      </c>
      <c r="C11" s="46">
        <v>1000</v>
      </c>
      <c r="D11" s="47"/>
      <c r="E11" s="46">
        <v>1500</v>
      </c>
      <c r="F11" s="47"/>
      <c r="G11" s="46">
        <v>1500</v>
      </c>
      <c r="H11" s="47"/>
      <c r="I11" s="33">
        <v>1500</v>
      </c>
      <c r="J11" s="33">
        <v>1500</v>
      </c>
      <c r="K11" s="33">
        <v>1500</v>
      </c>
      <c r="L11" s="33"/>
      <c r="M11" s="18">
        <v>1500</v>
      </c>
      <c r="N11" s="31">
        <v>750</v>
      </c>
      <c r="O11" s="32"/>
      <c r="P11" s="18">
        <v>1000</v>
      </c>
      <c r="Q11" s="33">
        <v>1000</v>
      </c>
      <c r="R11" s="33"/>
      <c r="S11" s="33">
        <v>1500</v>
      </c>
      <c r="T11" s="33"/>
    </row>
    <row r="12" spans="1:20">
      <c r="A12" s="21">
        <v>4</v>
      </c>
      <c r="B12" s="3" t="s">
        <v>4</v>
      </c>
      <c r="C12" s="46" t="s">
        <v>75</v>
      </c>
      <c r="D12" s="47"/>
      <c r="E12" s="46" t="s">
        <v>40</v>
      </c>
      <c r="F12" s="47"/>
      <c r="G12" s="46" t="s">
        <v>60</v>
      </c>
      <c r="H12" s="47"/>
      <c r="I12" s="33" t="s">
        <v>33</v>
      </c>
      <c r="J12" s="33" t="s">
        <v>33</v>
      </c>
      <c r="K12" s="33" t="s">
        <v>20</v>
      </c>
      <c r="L12" s="33"/>
      <c r="M12" s="18" t="s">
        <v>5</v>
      </c>
      <c r="N12" s="31" t="s">
        <v>34</v>
      </c>
      <c r="O12" s="32"/>
      <c r="P12" s="18" t="s">
        <v>34</v>
      </c>
      <c r="Q12" s="33" t="s">
        <v>21</v>
      </c>
      <c r="R12" s="33"/>
      <c r="S12" s="33" t="s">
        <v>67</v>
      </c>
      <c r="T12" s="33"/>
    </row>
    <row r="13" spans="1:20">
      <c r="A13" s="21">
        <v>5</v>
      </c>
      <c r="B13" s="3" t="s">
        <v>6</v>
      </c>
      <c r="C13" s="46" t="s">
        <v>8</v>
      </c>
      <c r="D13" s="47"/>
      <c r="E13" s="46" t="s">
        <v>7</v>
      </c>
      <c r="F13" s="47"/>
      <c r="G13" s="46" t="s">
        <v>8</v>
      </c>
      <c r="H13" s="47"/>
      <c r="I13" s="33" t="s">
        <v>7</v>
      </c>
      <c r="J13" s="33" t="s">
        <v>7</v>
      </c>
      <c r="K13" s="33" t="s">
        <v>8</v>
      </c>
      <c r="L13" s="33"/>
      <c r="M13" s="18" t="s">
        <v>7</v>
      </c>
      <c r="N13" s="31" t="s">
        <v>8</v>
      </c>
      <c r="O13" s="32"/>
      <c r="P13" s="18" t="s">
        <v>8</v>
      </c>
      <c r="Q13" s="33" t="s">
        <v>22</v>
      </c>
      <c r="R13" s="33"/>
      <c r="S13" s="33" t="s">
        <v>8</v>
      </c>
      <c r="T13" s="33"/>
    </row>
    <row r="14" spans="1:20" ht="43.5" customHeight="1">
      <c r="A14" s="21">
        <v>6</v>
      </c>
      <c r="B14" s="3" t="s">
        <v>9</v>
      </c>
      <c r="C14" s="31" t="s">
        <v>78</v>
      </c>
      <c r="D14" s="32"/>
      <c r="E14" s="31" t="s">
        <v>20</v>
      </c>
      <c r="F14" s="32"/>
      <c r="G14" s="38" t="s">
        <v>65</v>
      </c>
      <c r="H14" s="38"/>
      <c r="I14" s="33" t="s">
        <v>35</v>
      </c>
      <c r="J14" s="33" t="s">
        <v>35</v>
      </c>
      <c r="K14" s="33" t="s">
        <v>72</v>
      </c>
      <c r="L14" s="33"/>
      <c r="M14" s="18" t="s">
        <v>10</v>
      </c>
      <c r="N14" s="31" t="s">
        <v>10</v>
      </c>
      <c r="O14" s="32"/>
      <c r="P14" s="18" t="s">
        <v>10</v>
      </c>
      <c r="Q14" s="33" t="s">
        <v>46</v>
      </c>
      <c r="R14" s="33"/>
      <c r="S14" s="33" t="s">
        <v>10</v>
      </c>
      <c r="T14" s="33"/>
    </row>
    <row r="15" spans="1:20">
      <c r="A15" s="21">
        <v>8</v>
      </c>
      <c r="B15" s="3" t="s">
        <v>11</v>
      </c>
      <c r="C15" s="39">
        <v>0.35</v>
      </c>
      <c r="D15" s="40"/>
      <c r="E15" s="39">
        <v>0.40500000000000003</v>
      </c>
      <c r="F15" s="40"/>
      <c r="G15" s="13">
        <v>0.35099999999999998</v>
      </c>
      <c r="H15" s="13">
        <f>G15</f>
        <v>0.35099999999999998</v>
      </c>
      <c r="I15" s="48">
        <v>0.4</v>
      </c>
      <c r="J15" s="33">
        <v>0.39800000000000002</v>
      </c>
      <c r="K15" s="48">
        <v>0.33700000000000002</v>
      </c>
      <c r="L15" s="33"/>
      <c r="M15" s="23">
        <v>0.44</v>
      </c>
      <c r="N15" s="39">
        <v>0.44</v>
      </c>
      <c r="O15" s="40"/>
      <c r="P15" s="23">
        <v>0.44</v>
      </c>
      <c r="Q15" s="49">
        <v>0.42</v>
      </c>
      <c r="R15" s="49"/>
      <c r="S15" s="39">
        <v>0.35</v>
      </c>
      <c r="T15" s="40"/>
    </row>
    <row r="16" spans="1:20">
      <c r="A16" s="21">
        <v>9</v>
      </c>
      <c r="B16" s="3" t="s">
        <v>12</v>
      </c>
      <c r="C16" s="12">
        <v>10750</v>
      </c>
      <c r="D16" s="12">
        <f>C16*4</f>
        <v>43000</v>
      </c>
      <c r="E16" s="12">
        <v>13500</v>
      </c>
      <c r="F16" s="12">
        <f>E16*2</f>
        <v>27000</v>
      </c>
      <c r="G16" s="12" t="s">
        <v>61</v>
      </c>
      <c r="H16" s="12">
        <f>8700*3</f>
        <v>26100</v>
      </c>
      <c r="I16" s="18">
        <v>8423</v>
      </c>
      <c r="J16" s="18">
        <f>I16*2</f>
        <v>16846</v>
      </c>
      <c r="K16" s="24">
        <v>7333</v>
      </c>
      <c r="L16" s="18">
        <f>K16*4</f>
        <v>29332</v>
      </c>
      <c r="M16" s="18">
        <v>18600</v>
      </c>
      <c r="N16" s="18">
        <v>27600</v>
      </c>
      <c r="O16" s="18">
        <f>N16*2</f>
        <v>55200</v>
      </c>
      <c r="P16" s="18">
        <v>27600</v>
      </c>
      <c r="Q16" s="18">
        <v>8500</v>
      </c>
      <c r="R16" s="18">
        <f>Q16*3</f>
        <v>25500</v>
      </c>
      <c r="S16" s="18">
        <v>5000</v>
      </c>
      <c r="T16" s="18">
        <v>20000</v>
      </c>
    </row>
    <row r="17" spans="1:21" ht="15" customHeight="1">
      <c r="A17" s="21">
        <v>10</v>
      </c>
      <c r="B17" s="3" t="s">
        <v>16</v>
      </c>
      <c r="C17" s="12">
        <v>100</v>
      </c>
      <c r="D17" s="12">
        <f>C17*4</f>
        <v>400</v>
      </c>
      <c r="E17" s="12">
        <v>247</v>
      </c>
      <c r="F17" s="12">
        <f>E17*2</f>
        <v>494</v>
      </c>
      <c r="G17" s="12">
        <v>188</v>
      </c>
      <c r="H17" s="12">
        <f>G17*3</f>
        <v>564</v>
      </c>
      <c r="I17" s="18">
        <v>216.51</v>
      </c>
      <c r="J17" s="18">
        <f>I17*2</f>
        <v>433.02</v>
      </c>
      <c r="K17" s="18">
        <v>129.55000000000001</v>
      </c>
      <c r="L17" s="18">
        <f>K17*4</f>
        <v>518.20000000000005</v>
      </c>
      <c r="M17" s="18">
        <v>390</v>
      </c>
      <c r="N17" s="18">
        <v>220</v>
      </c>
      <c r="O17" s="18">
        <f>N17*2</f>
        <v>440</v>
      </c>
      <c r="P17" s="18">
        <v>330</v>
      </c>
      <c r="Q17" s="18">
        <v>150</v>
      </c>
      <c r="R17" s="18">
        <f>Q17*3</f>
        <v>450</v>
      </c>
      <c r="S17" s="18">
        <v>125.2</v>
      </c>
      <c r="T17" s="18">
        <f>S17*4</f>
        <v>500.8</v>
      </c>
    </row>
    <row r="18" spans="1:21">
      <c r="A18" s="21">
        <v>11</v>
      </c>
      <c r="B18" s="3" t="s">
        <v>13</v>
      </c>
      <c r="C18" s="38" t="s">
        <v>62</v>
      </c>
      <c r="D18" s="38"/>
      <c r="E18" s="38" t="s">
        <v>41</v>
      </c>
      <c r="F18" s="38"/>
      <c r="G18" s="38" t="s">
        <v>62</v>
      </c>
      <c r="H18" s="38"/>
      <c r="I18" s="18" t="s">
        <v>41</v>
      </c>
      <c r="J18" s="18" t="s">
        <v>41</v>
      </c>
      <c r="K18" s="18" t="s">
        <v>41</v>
      </c>
      <c r="L18" s="18" t="s">
        <v>41</v>
      </c>
      <c r="M18" s="18" t="s">
        <v>41</v>
      </c>
      <c r="N18" s="18" t="s">
        <v>41</v>
      </c>
      <c r="O18" s="18"/>
      <c r="P18" s="18" t="s">
        <v>41</v>
      </c>
      <c r="Q18" s="33" t="s">
        <v>45</v>
      </c>
      <c r="R18" s="33"/>
      <c r="S18" s="33" t="s">
        <v>68</v>
      </c>
      <c r="T18" s="33"/>
    </row>
    <row r="19" spans="1:21" ht="156" customHeight="1">
      <c r="A19" s="21">
        <v>12</v>
      </c>
      <c r="B19" s="3" t="s">
        <v>14</v>
      </c>
      <c r="C19" s="31" t="s">
        <v>37</v>
      </c>
      <c r="D19" s="32"/>
      <c r="E19" s="31" t="s">
        <v>37</v>
      </c>
      <c r="F19" s="32"/>
      <c r="G19" s="38" t="s">
        <v>20</v>
      </c>
      <c r="H19" s="38"/>
      <c r="I19" s="33" t="s">
        <v>37</v>
      </c>
      <c r="J19" s="33"/>
      <c r="K19" s="33" t="s">
        <v>37</v>
      </c>
      <c r="L19" s="33"/>
      <c r="M19" s="18" t="s">
        <v>43</v>
      </c>
      <c r="N19" s="33" t="s">
        <v>88</v>
      </c>
      <c r="O19" s="33"/>
      <c r="P19" s="33"/>
      <c r="Q19" s="33" t="s">
        <v>83</v>
      </c>
      <c r="R19" s="33"/>
      <c r="S19" s="33" t="s">
        <v>86</v>
      </c>
      <c r="T19" s="33"/>
    </row>
    <row r="20" spans="1:21" ht="114" customHeight="1">
      <c r="A20" s="21">
        <v>13</v>
      </c>
      <c r="B20" s="3" t="s">
        <v>15</v>
      </c>
      <c r="C20" s="31" t="s">
        <v>37</v>
      </c>
      <c r="D20" s="32"/>
      <c r="E20" s="31" t="s">
        <v>44</v>
      </c>
      <c r="F20" s="32"/>
      <c r="G20" s="38" t="s">
        <v>20</v>
      </c>
      <c r="H20" s="38"/>
      <c r="I20" s="31" t="s">
        <v>37</v>
      </c>
      <c r="J20" s="32"/>
      <c r="K20" s="31" t="s">
        <v>37</v>
      </c>
      <c r="L20" s="32"/>
      <c r="M20" s="18" t="s">
        <v>29</v>
      </c>
      <c r="N20" s="33" t="s">
        <v>47</v>
      </c>
      <c r="O20" s="33"/>
      <c r="P20" s="33"/>
      <c r="Q20" s="31" t="s">
        <v>84</v>
      </c>
      <c r="R20" s="32"/>
      <c r="S20" s="33" t="s">
        <v>85</v>
      </c>
      <c r="T20" s="33"/>
    </row>
    <row r="21" spans="1:21" ht="30">
      <c r="A21" s="21">
        <v>14</v>
      </c>
      <c r="B21" s="3" t="s">
        <v>26</v>
      </c>
      <c r="C21" s="31">
        <v>30000</v>
      </c>
      <c r="D21" s="32"/>
      <c r="E21" s="31">
        <v>45000</v>
      </c>
      <c r="F21" s="32"/>
      <c r="G21" s="45">
        <v>48000</v>
      </c>
      <c r="H21" s="45"/>
      <c r="I21" s="17">
        <v>60000</v>
      </c>
      <c r="J21" s="17">
        <v>60000</v>
      </c>
      <c r="K21" s="17">
        <v>60000</v>
      </c>
      <c r="L21" s="17">
        <v>60000</v>
      </c>
      <c r="M21" s="17">
        <v>60000</v>
      </c>
      <c r="N21" s="36">
        <v>90000</v>
      </c>
      <c r="O21" s="44"/>
      <c r="P21" s="37"/>
      <c r="Q21" s="17">
        <v>50000</v>
      </c>
      <c r="R21" s="17">
        <v>50000</v>
      </c>
      <c r="S21" s="29">
        <v>15000</v>
      </c>
      <c r="T21" s="29"/>
    </row>
    <row r="22" spans="1:21" ht="30">
      <c r="A22" s="21">
        <v>16</v>
      </c>
      <c r="B22" s="22" t="s">
        <v>42</v>
      </c>
      <c r="C22" s="14">
        <f>C23-C23*96/100</f>
        <v>685544.08000000007</v>
      </c>
      <c r="D22" s="14">
        <f>D23-D23*96/100</f>
        <v>2742176.3200000003</v>
      </c>
      <c r="E22" s="14">
        <v>1091800</v>
      </c>
      <c r="F22" s="14">
        <f>E22*2</f>
        <v>2183600</v>
      </c>
      <c r="G22" s="14">
        <f t="shared" ref="G22:N22" si="0">G23-G23*96/100</f>
        <v>942240</v>
      </c>
      <c r="H22" s="14">
        <f t="shared" si="0"/>
        <v>2826720</v>
      </c>
      <c r="I22" s="6">
        <f t="shared" si="0"/>
        <v>1451833.6000000015</v>
      </c>
      <c r="J22" s="6">
        <f t="shared" si="0"/>
        <v>2903667.200000003</v>
      </c>
      <c r="K22" s="6">
        <f t="shared" si="0"/>
        <v>869415.24799999967</v>
      </c>
      <c r="L22" s="6">
        <f t="shared" si="0"/>
        <v>3192974.6480000019</v>
      </c>
      <c r="M22" s="6">
        <f t="shared" si="0"/>
        <v>2082060</v>
      </c>
      <c r="N22" s="6">
        <f t="shared" si="0"/>
        <v>1450400</v>
      </c>
      <c r="O22" s="6">
        <f>N22*2</f>
        <v>2900800</v>
      </c>
      <c r="P22" s="6">
        <f>P23-P23*96/100</f>
        <v>2071920</v>
      </c>
      <c r="Q22" s="6">
        <f>Q23-Q23*96/100</f>
        <v>892000</v>
      </c>
      <c r="R22" s="6">
        <f>R23-R23*96/100</f>
        <v>2676000</v>
      </c>
      <c r="S22" s="6">
        <v>208000</v>
      </c>
      <c r="T22" s="6">
        <f>S22*4</f>
        <v>832000</v>
      </c>
    </row>
    <row r="23" spans="1:21">
      <c r="A23" s="59">
        <v>17</v>
      </c>
      <c r="B23" s="55" t="s">
        <v>36</v>
      </c>
      <c r="C23" s="14">
        <f>C24*52</f>
        <v>17138602</v>
      </c>
      <c r="D23" s="14">
        <f>C23*4</f>
        <v>68554408</v>
      </c>
      <c r="E23" s="14">
        <v>53916380</v>
      </c>
      <c r="F23" s="14">
        <f>E23*2</f>
        <v>107832760</v>
      </c>
      <c r="G23" s="14">
        <f>G24*52</f>
        <v>23556000</v>
      </c>
      <c r="H23" s="14">
        <f>G23*3</f>
        <v>70668000</v>
      </c>
      <c r="I23" s="6">
        <f>I24*56</f>
        <v>36295840</v>
      </c>
      <c r="J23" s="6">
        <f>J24*56</f>
        <v>72591680</v>
      </c>
      <c r="K23" s="6">
        <f>K24*57</f>
        <v>21735381.199999999</v>
      </c>
      <c r="L23" s="6">
        <f>L24*57</f>
        <v>79824366.200000003</v>
      </c>
      <c r="M23" s="6">
        <v>52051500</v>
      </c>
      <c r="N23" s="6">
        <f>17800000+1250000+350000+5450000+6500000+4500000+410000</f>
        <v>36260000</v>
      </c>
      <c r="O23" s="6">
        <f>N23*2</f>
        <v>72520000</v>
      </c>
      <c r="P23" s="6">
        <f>44100000+1480000+1323000+3350000+850000+695000</f>
        <v>51798000</v>
      </c>
      <c r="Q23" s="6">
        <f>66900000/3</f>
        <v>22300000</v>
      </c>
      <c r="R23" s="6">
        <f>Q23*3</f>
        <v>66900000</v>
      </c>
      <c r="S23" s="6">
        <v>9234260</v>
      </c>
      <c r="T23" s="6">
        <f>S23*4</f>
        <v>36937040</v>
      </c>
      <c r="U23" s="4"/>
    </row>
    <row r="24" spans="1:21">
      <c r="A24" s="59"/>
      <c r="B24" s="55"/>
      <c r="C24" s="8">
        <f>D24/4</f>
        <v>329588.5</v>
      </c>
      <c r="D24" s="8">
        <v>1318354</v>
      </c>
      <c r="E24" s="8">
        <f>E23/52</f>
        <v>1036853.4615384615</v>
      </c>
      <c r="F24" s="8">
        <f>E24*2</f>
        <v>2073706.923076923</v>
      </c>
      <c r="G24" s="8">
        <v>453000</v>
      </c>
      <c r="H24" s="8">
        <f>G24*3</f>
        <v>1359000</v>
      </c>
      <c r="I24" s="7">
        <f>633265+14875</f>
        <v>648140</v>
      </c>
      <c r="J24" s="7">
        <f>I24*2</f>
        <v>1296280</v>
      </c>
      <c r="K24" s="7">
        <f>201952+4861.6+14000+(7347281+1801725)/57</f>
        <v>381322.47719298245</v>
      </c>
      <c r="L24" s="7">
        <f>(201952*4)+4861.6+14000+26550+((7347281*4)+1801725)/57</f>
        <v>1400427.4771929826</v>
      </c>
      <c r="M24" s="8">
        <f>M23/52</f>
        <v>1000990.3846153846</v>
      </c>
      <c r="N24" s="8">
        <f>N23/52</f>
        <v>697307.69230769225</v>
      </c>
      <c r="O24" s="8">
        <f>N24*2</f>
        <v>1394615.3846153845</v>
      </c>
      <c r="P24" s="8">
        <f>P23/52</f>
        <v>996115.38461538462</v>
      </c>
      <c r="Q24" s="8">
        <f>Q23/52</f>
        <v>428846.15384615387</v>
      </c>
      <c r="R24" s="8">
        <f>Q24*3</f>
        <v>1286538.4615384615</v>
      </c>
      <c r="S24" s="8">
        <f>S23/52</f>
        <v>177581.92307692306</v>
      </c>
      <c r="T24" s="8">
        <f>S24*4</f>
        <v>710327.69230769225</v>
      </c>
    </row>
    <row r="25" spans="1:21">
      <c r="A25" s="59"/>
      <c r="B25" s="55"/>
      <c r="C25" s="36" t="s">
        <v>27</v>
      </c>
      <c r="D25" s="37"/>
      <c r="E25" s="36" t="s">
        <v>27</v>
      </c>
      <c r="F25" s="37"/>
      <c r="G25" s="29" t="s">
        <v>27</v>
      </c>
      <c r="H25" s="29"/>
      <c r="I25" s="36" t="s">
        <v>27</v>
      </c>
      <c r="J25" s="37"/>
      <c r="K25" s="36" t="s">
        <v>27</v>
      </c>
      <c r="L25" s="37"/>
      <c r="M25" s="17" t="s">
        <v>27</v>
      </c>
      <c r="N25" s="36" t="s">
        <v>23</v>
      </c>
      <c r="O25" s="44"/>
      <c r="P25" s="37"/>
      <c r="Q25" s="36" t="s">
        <v>27</v>
      </c>
      <c r="R25" s="37"/>
      <c r="S25" s="29" t="s">
        <v>27</v>
      </c>
      <c r="T25" s="29"/>
    </row>
    <row r="26" spans="1:21">
      <c r="A26" s="21">
        <v>18</v>
      </c>
      <c r="B26" s="3" t="s">
        <v>52</v>
      </c>
      <c r="C26" s="41" t="s">
        <v>76</v>
      </c>
      <c r="D26" s="41"/>
      <c r="E26" s="41" t="s">
        <v>53</v>
      </c>
      <c r="F26" s="41"/>
      <c r="G26" s="41" t="s">
        <v>77</v>
      </c>
      <c r="H26" s="41"/>
      <c r="I26" s="29" t="s">
        <v>55</v>
      </c>
      <c r="J26" s="29"/>
      <c r="K26" s="29" t="s">
        <v>73</v>
      </c>
      <c r="L26" s="29"/>
      <c r="M26" s="36" t="s">
        <v>54</v>
      </c>
      <c r="N26" s="44"/>
      <c r="O26" s="44"/>
      <c r="P26" s="37"/>
      <c r="Q26" s="29" t="s">
        <v>56</v>
      </c>
      <c r="R26" s="29"/>
      <c r="S26" s="29" t="s">
        <v>69</v>
      </c>
      <c r="T26" s="29"/>
    </row>
    <row r="27" spans="1:21">
      <c r="A27" s="21">
        <v>19</v>
      </c>
      <c r="B27" s="3" t="s">
        <v>57</v>
      </c>
      <c r="C27" s="41">
        <f>20*365*24</f>
        <v>175200</v>
      </c>
      <c r="D27" s="41"/>
      <c r="E27" s="41">
        <v>480000</v>
      </c>
      <c r="F27" s="41"/>
      <c r="G27" s="41">
        <v>240000</v>
      </c>
      <c r="H27" s="41"/>
      <c r="I27" s="29">
        <v>240000</v>
      </c>
      <c r="J27" s="29"/>
      <c r="K27" s="29">
        <v>190000</v>
      </c>
      <c r="L27" s="29"/>
      <c r="M27" s="36">
        <v>175000</v>
      </c>
      <c r="N27" s="44"/>
      <c r="O27" s="44"/>
      <c r="P27" s="37"/>
      <c r="Q27" s="29">
        <v>180000</v>
      </c>
      <c r="R27" s="29"/>
      <c r="S27" s="29">
        <v>60000</v>
      </c>
      <c r="T27" s="29"/>
    </row>
    <row r="28" spans="1:21">
      <c r="A28" s="9"/>
      <c r="B28" s="10"/>
      <c r="C28" s="10"/>
      <c r="D28" s="10"/>
      <c r="E28" s="11"/>
      <c r="F28" s="11"/>
      <c r="G28" s="15"/>
      <c r="H28" s="15"/>
      <c r="I28" s="11"/>
      <c r="J28" s="11"/>
      <c r="K28" s="11"/>
      <c r="L28" s="11"/>
      <c r="M28" s="11"/>
      <c r="N28" s="11"/>
      <c r="O28" s="11"/>
      <c r="P28" s="11"/>
      <c r="Q28" s="11"/>
      <c r="R28" s="11"/>
    </row>
    <row r="29" spans="1:21">
      <c r="A29" s="9"/>
      <c r="B29" s="10"/>
      <c r="C29" s="10"/>
      <c r="D29" s="10"/>
      <c r="G29" s="15"/>
      <c r="H29" s="15"/>
      <c r="I29" s="11"/>
      <c r="J29" s="11"/>
      <c r="K29" s="11"/>
      <c r="L29" s="11"/>
      <c r="M29" s="11"/>
      <c r="N29" s="11"/>
      <c r="O29" s="11"/>
      <c r="P29" s="11"/>
      <c r="Q29" s="11"/>
      <c r="R29" s="11"/>
    </row>
    <row r="31" spans="1:21">
      <c r="A31" s="51" t="s">
        <v>17</v>
      </c>
      <c r="B31" s="51"/>
      <c r="C31" s="20"/>
      <c r="D31" s="20"/>
      <c r="M31" s="2" t="s">
        <v>18</v>
      </c>
    </row>
  </sheetData>
  <mergeCells count="128">
    <mergeCell ref="M4:P4"/>
    <mergeCell ref="S5:T5"/>
    <mergeCell ref="A1:T1"/>
    <mergeCell ref="A2:T2"/>
    <mergeCell ref="A4:A7"/>
    <mergeCell ref="B4:B6"/>
    <mergeCell ref="C4:D4"/>
    <mergeCell ref="E4:F4"/>
    <mergeCell ref="G4:H4"/>
    <mergeCell ref="I4:J4"/>
    <mergeCell ref="K4:L4"/>
    <mergeCell ref="C9:D9"/>
    <mergeCell ref="E9:F9"/>
    <mergeCell ref="G9:H9"/>
    <mergeCell ref="Q9:R9"/>
    <mergeCell ref="N5:O5"/>
    <mergeCell ref="P5:P6"/>
    <mergeCell ref="Q5:R5"/>
    <mergeCell ref="Q4:R4"/>
    <mergeCell ref="S4:T4"/>
    <mergeCell ref="C5:D5"/>
    <mergeCell ref="E5:F5"/>
    <mergeCell ref="G5:H5"/>
    <mergeCell ref="I5:I6"/>
    <mergeCell ref="J5:J6"/>
    <mergeCell ref="K5:K6"/>
    <mergeCell ref="L5:L6"/>
    <mergeCell ref="M5:M6"/>
    <mergeCell ref="C11:D11"/>
    <mergeCell ref="E11:F11"/>
    <mergeCell ref="G11:H11"/>
    <mergeCell ref="I11:J11"/>
    <mergeCell ref="K11:L11"/>
    <mergeCell ref="N11:O11"/>
    <mergeCell ref="C10:D10"/>
    <mergeCell ref="E10:F10"/>
    <mergeCell ref="G10:H10"/>
    <mergeCell ref="I10:J10"/>
    <mergeCell ref="Q10:R10"/>
    <mergeCell ref="S10:T10"/>
    <mergeCell ref="K10:L10"/>
    <mergeCell ref="N10:O10"/>
    <mergeCell ref="Q12:R12"/>
    <mergeCell ref="S12:T12"/>
    <mergeCell ref="K12:L12"/>
    <mergeCell ref="N12:O12"/>
    <mergeCell ref="Q11:R11"/>
    <mergeCell ref="S11:T11"/>
    <mergeCell ref="Q13:R13"/>
    <mergeCell ref="S13:T13"/>
    <mergeCell ref="C13:D13"/>
    <mergeCell ref="E13:F13"/>
    <mergeCell ref="G13:H13"/>
    <mergeCell ref="I13:J13"/>
    <mergeCell ref="C12:D12"/>
    <mergeCell ref="E12:F12"/>
    <mergeCell ref="G12:H12"/>
    <mergeCell ref="I12:J12"/>
    <mergeCell ref="K13:L13"/>
    <mergeCell ref="N13:O13"/>
    <mergeCell ref="Q14:R14"/>
    <mergeCell ref="S14:T14"/>
    <mergeCell ref="C15:D15"/>
    <mergeCell ref="E15:F15"/>
    <mergeCell ref="I15:J15"/>
    <mergeCell ref="K15:L15"/>
    <mergeCell ref="N15:O15"/>
    <mergeCell ref="Q15:R15"/>
    <mergeCell ref="S15:T15"/>
    <mergeCell ref="C14:D14"/>
    <mergeCell ref="S18:T18"/>
    <mergeCell ref="C19:D19"/>
    <mergeCell ref="E19:F19"/>
    <mergeCell ref="G19:H19"/>
    <mergeCell ref="I19:J19"/>
    <mergeCell ref="K19:L19"/>
    <mergeCell ref="N19:P19"/>
    <mergeCell ref="Q19:R19"/>
    <mergeCell ref="I25:J25"/>
    <mergeCell ref="C21:D21"/>
    <mergeCell ref="E21:F21"/>
    <mergeCell ref="G21:H21"/>
    <mergeCell ref="N14:O14"/>
    <mergeCell ref="Q18:R18"/>
    <mergeCell ref="E14:F14"/>
    <mergeCell ref="G14:H14"/>
    <mergeCell ref="I14:J14"/>
    <mergeCell ref="K14:L14"/>
    <mergeCell ref="G20:H20"/>
    <mergeCell ref="I20:J20"/>
    <mergeCell ref="K20:L20"/>
    <mergeCell ref="N20:P20"/>
    <mergeCell ref="S19:T19"/>
    <mergeCell ref="A23:A25"/>
    <mergeCell ref="B23:B25"/>
    <mergeCell ref="C25:D25"/>
    <mergeCell ref="E25:F25"/>
    <mergeCell ref="G25:H25"/>
    <mergeCell ref="S21:T21"/>
    <mergeCell ref="K25:L25"/>
    <mergeCell ref="N25:P25"/>
    <mergeCell ref="Q25:R25"/>
    <mergeCell ref="S25:T25"/>
    <mergeCell ref="C18:D18"/>
    <mergeCell ref="E18:F18"/>
    <mergeCell ref="G18:H18"/>
    <mergeCell ref="S20:T20"/>
    <mergeCell ref="C20:D20"/>
    <mergeCell ref="Q27:R27"/>
    <mergeCell ref="Q20:R20"/>
    <mergeCell ref="C26:D26"/>
    <mergeCell ref="E26:F26"/>
    <mergeCell ref="G26:H26"/>
    <mergeCell ref="I26:J26"/>
    <mergeCell ref="K26:L26"/>
    <mergeCell ref="M26:P26"/>
    <mergeCell ref="N21:P21"/>
    <mergeCell ref="E20:F20"/>
    <mergeCell ref="S27:T27"/>
    <mergeCell ref="A31:B31"/>
    <mergeCell ref="Q26:R26"/>
    <mergeCell ref="S26:T26"/>
    <mergeCell ref="C27:D27"/>
    <mergeCell ref="E27:F27"/>
    <mergeCell ref="G27:H27"/>
    <mergeCell ref="I27:J27"/>
    <mergeCell ref="K27:L27"/>
    <mergeCell ref="M27:P27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2015-07-03T20:57:11Z</dcterms:modified>
</cp:coreProperties>
</file>